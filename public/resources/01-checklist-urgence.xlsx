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Checklist Risques" sheetId="1" state="visible" r:id="rId1"/>
    <sheet xmlns:r="http://schemas.openxmlformats.org/officeDocument/2006/relationships" name="📊 Résultats Auto" sheetId="2" state="visible" r:id="rId2"/>
    <sheet xmlns:r="http://schemas.openxmlformats.org/officeDocument/2006/relationships" name="📖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  <font>
      <b val="1"/>
      <sz val="12"/>
    </font>
    <font>
      <b val="1"/>
      <color rgb="00FF0000"/>
      <sz val="14"/>
    </font>
    <font>
      <b val="1"/>
      <color rgb="001E3A5F"/>
      <sz val="16"/>
    </font>
    <font>
      <b val="1"/>
      <sz val="11"/>
    </font>
    <font>
      <b val="1"/>
      <color rgb="00FF0000"/>
      <sz val="18"/>
    </font>
    <font>
      <b val="1"/>
      <sz val="14"/>
    </font>
    <font>
      <b val="1"/>
      <color rgb="001E3A5F"/>
      <sz val="14"/>
    </font>
    <font>
      <b val="1"/>
    </font>
    <font>
      <b val="1"/>
      <color rgb="001E3A5F"/>
      <sz val="12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92D050"/>
      </patternFill>
    </fill>
    <fill>
      <patternFill patternType="solid">
        <fgColor rgb="00FFFF00"/>
      </patternFill>
    </fill>
    <fill>
      <patternFill patternType="solid">
        <fgColor rgb="00FFC000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10" fillId="4" borderId="0" pivotButton="0" quotePrefix="0" xfId="0"/>
    <xf numFmtId="0" fontId="10" fillId="5" borderId="0" pivotButton="0" quotePrefix="0" xfId="0"/>
    <xf numFmtId="0" fontId="10" fillId="6" borderId="0" pivotButton="0" quotePrefix="0" xfId="0"/>
    <xf numFmtId="0" fontId="2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10" customWidth="1" min="4" max="4"/>
    <col width="50" customWidth="1" min="5" max="5"/>
  </cols>
  <sheetData>
    <row r="1">
      <c r="A1" s="1" t="inlineStr">
        <is>
          <t>ID</t>
        </is>
      </c>
      <c r="B1" s="1" t="inlineStr">
        <is>
          <t>Question (Êtes-vous concerné si...)</t>
        </is>
      </c>
      <c r="C1" s="1" t="inlineStr">
        <is>
          <t>Réponse</t>
        </is>
      </c>
      <c r="D1" s="1" t="inlineStr">
        <is>
          <t>Score</t>
        </is>
      </c>
      <c r="E1" s="1" t="inlineStr">
        <is>
          <t>Actions recommandées</t>
        </is>
      </c>
    </row>
    <row r="2">
      <c r="A2" s="2" t="inlineStr">
        <is>
          <t>Q1</t>
        </is>
      </c>
      <c r="B2" s="3" t="inlineStr">
        <is>
          <t>Utilisez-vous des systèmes d'IA pour le recrutement ou l'évaluation des candidats ?</t>
        </is>
      </c>
      <c r="C2" s="2" t="inlineStr"/>
      <c r="D2" s="2">
        <f>SI(C2="Oui";3;SI(C2="Peut-être";1;0))</f>
        <v/>
      </c>
      <c r="E2" s="4" t="inlineStr">
        <is>
          <t>Haut risque - Documentation complète requise</t>
        </is>
      </c>
    </row>
    <row r="3">
      <c r="A3" s="2" t="inlineStr">
        <is>
          <t>Q2</t>
        </is>
      </c>
      <c r="B3" s="3" t="inlineStr">
        <is>
          <t>Avez-vous des outils d'IA qui analysent les émotions ou le comportement des employés ?</t>
        </is>
      </c>
      <c r="C3" s="2" t="inlineStr"/>
      <c r="D3" s="2">
        <f>SI(C3="Oui";3;SI(C3="Peut-être";1;0))</f>
        <v/>
      </c>
      <c r="E3" s="4" t="inlineStr">
        <is>
          <t>Potentiellement interdit - Analyse juridique urgente</t>
        </is>
      </c>
    </row>
    <row r="4">
      <c r="A4" s="2" t="inlineStr">
        <is>
          <t>Q3</t>
        </is>
      </c>
      <c r="B4" s="3" t="inlineStr">
        <is>
          <t>Utilisez-vous des chatbots ou assistants IA en contact avec vos clients ?</t>
        </is>
      </c>
      <c r="C4" s="2" t="inlineStr"/>
      <c r="D4" s="2">
        <f>SI(C4="Oui";3;SI(C4="Peut-être";1;0))</f>
        <v/>
      </c>
      <c r="E4" s="4" t="inlineStr">
        <is>
          <t>Risque limité - Obligation de transparence</t>
        </is>
      </c>
    </row>
    <row r="5">
      <c r="A5" s="2" t="inlineStr">
        <is>
          <t>Q4</t>
        </is>
      </c>
      <c r="B5" s="3" t="inlineStr">
        <is>
          <t>Vos systèmes d'IA prennent-ils des décisions automatisées sur des crédits ou assurances ?</t>
        </is>
      </c>
      <c r="C5" s="2" t="inlineStr"/>
      <c r="D5" s="2">
        <f>SI(C5="Oui";3;SI(C5="Peut-être";1;0))</f>
        <v/>
      </c>
      <c r="E5" s="4" t="inlineStr">
        <is>
          <t>Haut risque - Supervision humaine obligatoire</t>
        </is>
      </c>
    </row>
    <row r="6">
      <c r="A6" s="2" t="inlineStr">
        <is>
          <t>Q5</t>
        </is>
      </c>
      <c r="B6" s="3" t="inlineStr">
        <is>
          <t>Utilisez-vous l'IA pour la vidéosurveillance ou la reconnaissance faciale ?</t>
        </is>
      </c>
      <c r="C6" s="2" t="inlineStr"/>
      <c r="D6" s="2">
        <f>SI(C6="Oui";3;SI(C6="Peut-être";1;0))</f>
        <v/>
      </c>
      <c r="E6" s="4" t="inlineStr">
        <is>
          <t>Potentiellement interdit - Vérification requise</t>
        </is>
      </c>
    </row>
    <row r="7">
      <c r="A7" s="2" t="inlineStr">
        <is>
          <t>Q6</t>
        </is>
      </c>
      <c r="B7" s="3" t="inlineStr">
        <is>
          <t>Avez-vous des systèmes d'IA intégrés dans des produits de sécurité (machines, véhicules) ?</t>
        </is>
      </c>
      <c r="C7" s="2" t="inlineStr"/>
      <c r="D7" s="2">
        <f>SI(C7="Oui";3;SI(C7="Peut-être";1;0))</f>
        <v/>
      </c>
      <c r="E7" s="4" t="inlineStr">
        <is>
          <t>Haut risque - Certification CE requise</t>
        </is>
      </c>
    </row>
    <row r="8">
      <c r="A8" s="2" t="inlineStr">
        <is>
          <t>Q7</t>
        </is>
      </c>
      <c r="B8" s="3" t="inlineStr">
        <is>
          <t>Utilisez-vous des outils d'IA générative (ChatGPT, DALL-E, etc.) dans vos processus ?</t>
        </is>
      </c>
      <c r="C8" s="2" t="inlineStr"/>
      <c r="D8" s="2">
        <f>SI(C8="Oui";3;SI(C8="Peut-être";1;0))</f>
        <v/>
      </c>
      <c r="E8" s="4" t="inlineStr">
        <is>
          <t>Risque limité - Transparence sur contenu généré</t>
        </is>
      </c>
    </row>
    <row r="9">
      <c r="A9" s="2" t="inlineStr">
        <is>
          <t>Q8</t>
        </is>
      </c>
      <c r="B9" s="3" t="inlineStr">
        <is>
          <t>Vos systèmes d'IA influencent-ils l'accès aux services publics essentiels ?</t>
        </is>
      </c>
      <c r="C9" s="2" t="inlineStr"/>
      <c r="D9" s="2">
        <f>SI(C9="Oui";3;SI(C9="Peut-être";1;0))</f>
        <v/>
      </c>
      <c r="E9" s="4" t="inlineStr">
        <is>
          <t>Haut risque - Évaluation d'impact obligatoire</t>
        </is>
      </c>
    </row>
    <row r="10">
      <c r="A10" s="2" t="inlineStr">
        <is>
          <t>Q9</t>
        </is>
      </c>
      <c r="B10" s="3" t="inlineStr">
        <is>
          <t>L'IA est-elle utilisée pour noter ou évaluer des élèves/étudiants ?</t>
        </is>
      </c>
      <c r="C10" s="2" t="inlineStr"/>
      <c r="D10" s="2">
        <f>SI(C10="Oui";3;SI(C10="Peut-être";1;0))</f>
        <v/>
      </c>
      <c r="E10" s="4" t="inlineStr">
        <is>
          <t>Haut risque - Documentation pédagogique requise</t>
        </is>
      </c>
    </row>
    <row r="11">
      <c r="A11" s="2" t="inlineStr">
        <is>
          <t>Q10</t>
        </is>
      </c>
      <c r="B11" s="3" t="inlineStr">
        <is>
          <t>Utilisez-vous l'IA pour la modération de contenu sur vos plateformes ?</t>
        </is>
      </c>
      <c r="C11" s="2" t="inlineStr"/>
      <c r="D11" s="2">
        <f>SI(C11="Oui";3;SI(C11="Peut-être";1;0))</f>
        <v/>
      </c>
      <c r="E11" s="4" t="inlineStr">
        <is>
          <t>Risque limité - Procédures de recours nécessaires</t>
        </is>
      </c>
    </row>
    <row r="12">
      <c r="A12" s="2" t="inlineStr">
        <is>
          <t>Q11</t>
        </is>
      </c>
      <c r="B12" s="3" t="inlineStr">
        <is>
          <t>Vos fournisseurs vous ont-ils transmis la documentation AI Act de leurs outils ?</t>
        </is>
      </c>
      <c r="C12" s="2" t="inlineStr"/>
      <c r="D12" s="2">
        <f>SI(C12="Oui";3;SI(C12="Peut-être";1;0))</f>
        <v/>
      </c>
      <c r="E12" s="4" t="inlineStr">
        <is>
          <t>Action : Contacter tous les fournisseurs IA</t>
        </is>
      </c>
    </row>
    <row r="13">
      <c r="A13" s="2" t="inlineStr">
        <is>
          <t>Q12</t>
        </is>
      </c>
      <c r="B13" s="3" t="inlineStr">
        <is>
          <t>Avez-vous un inventaire complet de tous vos systèmes d'IA ?</t>
        </is>
      </c>
      <c r="C13" s="2" t="inlineStr"/>
      <c r="D13" s="2">
        <f>SI(C13="Oui";3;SI(C13="Peut-être";1;0))</f>
        <v/>
      </c>
      <c r="E13" s="4" t="inlineStr">
        <is>
          <t>Action : Créer un registre exhaustif</t>
        </is>
      </c>
    </row>
    <row r="14">
      <c r="A14" s="2" t="inlineStr">
        <is>
          <t>Q13</t>
        </is>
      </c>
      <c r="B14" s="3" t="inlineStr">
        <is>
          <t>Avez-vous désigné un responsable conformité AI Act ?</t>
        </is>
      </c>
      <c r="C14" s="2" t="inlineStr"/>
      <c r="D14" s="2">
        <f>SI(C14="Oui";3;SI(C14="Peut-être";1;0))</f>
        <v/>
      </c>
      <c r="E14" s="4" t="inlineStr">
        <is>
          <t>Action : Nommer un référent AI Act</t>
        </is>
      </c>
    </row>
    <row r="15">
      <c r="A15" s="2" t="inlineStr">
        <is>
          <t>Q14</t>
        </is>
      </c>
      <c r="B15" s="3" t="inlineStr">
        <is>
          <t>Vos équipes ont-elles été formées sur l'AI Act ?</t>
        </is>
      </c>
      <c r="C15" s="2" t="inlineStr"/>
      <c r="D15" s="2">
        <f>SI(C15="Oui";3;SI(C15="Peut-être";1;0))</f>
        <v/>
      </c>
      <c r="E15" s="4" t="inlineStr">
        <is>
          <t>Action : Planifier des formations</t>
        </is>
      </c>
    </row>
    <row r="16">
      <c r="A16" s="2" t="inlineStr">
        <is>
          <t>Q15</t>
        </is>
      </c>
      <c r="B16" s="3" t="inlineStr">
        <is>
          <t>Avez-vous un processus de mise à jour pour suivre les évolutions réglementaires ?</t>
        </is>
      </c>
      <c r="C16" s="2" t="inlineStr"/>
      <c r="D16" s="2">
        <f>SI(C16="Oui";3;SI(C16="Peut-être";1;0))</f>
        <v/>
      </c>
      <c r="E16" s="4" t="inlineStr">
        <is>
          <t>Action : Mettre en place une veille juridique</t>
        </is>
      </c>
    </row>
    <row r="17">
      <c r="A17" s="5" t="inlineStr"/>
      <c r="B17" s="6" t="inlineStr">
        <is>
          <t>SCORE TOTAL DE RISQUE</t>
        </is>
      </c>
      <c r="C17" s="5" t="inlineStr"/>
      <c r="D17" s="7">
        <f>SOMME(D2:D16)</f>
        <v/>
      </c>
      <c r="E17" s="5" t="inlineStr"/>
    </row>
  </sheetData>
  <dataValidations count="1">
    <dataValidation sqref="C2:C16" showDropDown="0" showInputMessage="0" showErrorMessage="0" allowBlank="0" errorTitle="Valeur invalide" error="Choisissez Oui, Non ou Peut-être" type="list">
      <formula1>"Oui,Non,Peut-être"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4" max="4"/>
  </cols>
  <sheetData>
    <row r="1">
      <c r="A1" s="8" t="inlineStr">
        <is>
          <t>ANALYSE AUTOMATIQUE DE VOTRE NIVEAU DE RISQUE AI ACT</t>
        </is>
      </c>
    </row>
    <row r="2">
      <c r="A2" s="9" t="inlineStr"/>
      <c r="D2" t="inlineStr"/>
    </row>
    <row r="3">
      <c r="A3" s="9" t="inlineStr">
        <is>
          <t>Nombre de 'Oui'</t>
        </is>
      </c>
      <c r="D3">
        <f>NB.SI('🚨 Checklist Risques'!C2:C16;"Oui")</f>
        <v/>
      </c>
    </row>
    <row r="4">
      <c r="A4" s="9" t="inlineStr">
        <is>
          <t>Nombre de 'Peut-être'</t>
        </is>
      </c>
      <c r="D4">
        <f>NB.SI('🚨 Checklist Risques'!C2:C16;"Peut-être")</f>
        <v/>
      </c>
    </row>
    <row r="5">
      <c r="A5" s="9" t="inlineStr">
        <is>
          <t>Nombre de 'Non'</t>
        </is>
      </c>
      <c r="D5">
        <f>NB.SI('🚨 Checklist Risques'!C2:C16;"Non")</f>
        <v/>
      </c>
    </row>
    <row r="6">
      <c r="A6" s="9" t="inlineStr">
        <is>
          <t>Questions sans réponse</t>
        </is>
      </c>
      <c r="D6">
        <f>NB.SI.ENS('🚨 Checklist Risques'!C2:C16;"&lt;&gt;Oui";'🚨 Checklist Risques'!C2:C16;"&lt;&gt;Non";'🚨 Checklist Risques'!C2:C16;"&lt;&gt;Peut-être")</f>
        <v/>
      </c>
    </row>
    <row r="7">
      <c r="A7" s="9" t="inlineStr"/>
      <c r="D7" t="inlineStr"/>
    </row>
    <row r="8">
      <c r="A8" s="9" t="inlineStr">
        <is>
          <t>SCORE TOTAL</t>
        </is>
      </c>
      <c r="D8" s="10">
        <f>'🚨 Checklist Risques'!D17</f>
        <v/>
      </c>
    </row>
    <row r="9">
      <c r="A9" s="9" t="inlineStr"/>
      <c r="D9" t="inlineStr"/>
    </row>
    <row r="10">
      <c r="A10" s="9" t="inlineStr">
        <is>
          <t>VOTRE NIVEAU DE RISQUE</t>
        </is>
      </c>
      <c r="D10" s="11">
        <f>SI(D7&gt;=30;"🔴 CRITIQUE - Action immédiate requise";SI(D7&gt;=20;"🟠 ÉLEVÉ - Plan d'action sous 30 jours";SI(D7&gt;=10;"🟡 MODÉRÉ - Surveillance recommandée";"🟢 FAIBLE - Maintenir la veille")))</f>
        <v/>
      </c>
    </row>
    <row r="12">
      <c r="A12" s="12" t="inlineStr">
        <is>
          <t>INTERPRÉTATION DES SCORES</t>
        </is>
      </c>
    </row>
    <row r="13">
      <c r="A13" s="13" t="inlineStr">
        <is>
          <t>🟢 0-9 points</t>
        </is>
      </c>
      <c r="B13" t="inlineStr">
        <is>
          <t>Risque faible. Continuez votre veille réglementaire.</t>
        </is>
      </c>
    </row>
    <row r="14">
      <c r="A14" s="14" t="inlineStr">
        <is>
          <t>🟡 10-19 points</t>
        </is>
      </c>
      <c r="B14" t="inlineStr">
        <is>
          <t>Risque modéré. Initiez un diagnostic approfondi.</t>
        </is>
      </c>
    </row>
    <row r="15">
      <c r="A15" s="15" t="inlineStr">
        <is>
          <t>🟠 20-29 points</t>
        </is>
      </c>
      <c r="B15" t="inlineStr">
        <is>
          <t>Risque élevé. Plan d'action dans les 30 jours.</t>
        </is>
      </c>
    </row>
    <row r="16">
      <c r="A16" s="16" t="inlineStr">
        <is>
          <t>🔴 30+ points</t>
        </is>
      </c>
      <c r="B16" t="inlineStr">
        <is>
          <t>Risque critique. Mobilisation immédiate nécessaire.</t>
        </is>
      </c>
    </row>
  </sheetData>
  <mergeCells count="5">
    <mergeCell ref="A1:D1"/>
    <mergeCell ref="B14:D14"/>
    <mergeCell ref="B13:D13"/>
    <mergeCell ref="B15:D15"/>
    <mergeCell ref="B16:D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8" t="inlineStr">
        <is>
          <t>GUIDE D'UTILISATION - CHECKLIST AI ACT</t>
        </is>
      </c>
    </row>
    <row r="2">
      <c r="A2" s="17" t="inlineStr"/>
    </row>
    <row r="3">
      <c r="A3" s="18" t="inlineStr">
        <is>
          <t>COMMENT UTILISER CETTE CHECKLIST ?</t>
        </is>
      </c>
    </row>
    <row r="4">
      <c r="A4" s="17" t="inlineStr"/>
    </row>
    <row r="5">
      <c r="A5" s="17" t="inlineStr">
        <is>
          <t>1️⃣ Allez dans l'onglet '🚨 Checklist Risques'</t>
        </is>
      </c>
    </row>
    <row r="6">
      <c r="A6" s="17" t="inlineStr">
        <is>
          <t>2️⃣ Pour chaque question, sélectionnez 'Oui', 'Non' ou 'Peut-être' dans la colonne C</t>
        </is>
      </c>
    </row>
    <row r="7">
      <c r="A7" s="17" t="inlineStr">
        <is>
          <t>3️⃣ Le score se calcule automatiquement (Oui = 3pts, Peut-être = 1pt, Non = 0pt)</t>
        </is>
      </c>
    </row>
    <row r="8">
      <c r="A8" s="17" t="inlineStr">
        <is>
          <t>4️⃣ Consultez l'onglet '📊 Résultats Auto' pour voir votre niveau de risque</t>
        </is>
      </c>
    </row>
    <row r="9">
      <c r="A9" s="17" t="inlineStr"/>
    </row>
    <row r="10">
      <c r="A10" s="18" t="inlineStr">
        <is>
          <t>À PROPOS DE L'AI ACT</t>
        </is>
      </c>
    </row>
    <row r="11">
      <c r="A11" s="17" t="inlineStr"/>
    </row>
    <row r="12">
      <c r="A12" s="17" t="inlineStr">
        <is>
          <t>L'AI Act est le règlement européen sur l'intelligence artificielle.</t>
        </is>
      </c>
    </row>
    <row r="13">
      <c r="A13" s="17" t="inlineStr">
        <is>
          <t>Il classe les systèmes d'IA en 4 catégories de risque :</t>
        </is>
      </c>
    </row>
    <row r="14">
      <c r="A14" s="17" t="inlineStr">
        <is>
          <t>• Risque inacceptable (interdit)</t>
        </is>
      </c>
    </row>
    <row r="15">
      <c r="A15" s="17" t="inlineStr">
        <is>
          <t>• Haut risque (réglementé strictement)</t>
        </is>
      </c>
    </row>
    <row r="16">
      <c r="A16" s="17" t="inlineStr">
        <is>
          <t>• Risque limité (obligations de transparence)</t>
        </is>
      </c>
    </row>
    <row r="17">
      <c r="A17" s="17" t="inlineStr">
        <is>
          <t>• Risque minimal (pas d'obligations)</t>
        </is>
      </c>
    </row>
    <row r="18">
      <c r="A18" s="17" t="inlineStr"/>
    </row>
    <row r="19">
      <c r="A19" s="18" t="inlineStr">
        <is>
          <t>ÉCHÉANCES CLÉS</t>
        </is>
      </c>
    </row>
    <row r="20">
      <c r="A20" s="17" t="inlineStr"/>
    </row>
    <row r="21">
      <c r="A21" s="17" t="inlineStr">
        <is>
          <t>• Février 2025 : Interdiction des systèmes à risque inacceptable</t>
        </is>
      </c>
    </row>
    <row r="22">
      <c r="A22" s="17" t="inlineStr">
        <is>
          <t>• Août 2025 : Obligations pour les IA à usage général</t>
        </is>
      </c>
    </row>
    <row r="23">
      <c r="A23" s="17" t="inlineStr">
        <is>
          <t>• Août 2026 : Toutes les dispositions applicables</t>
        </is>
      </c>
    </row>
    <row r="24">
      <c r="A24" s="17" t="inlineStr"/>
    </row>
    <row r="25">
      <c r="A25" s="18" t="inlineStr">
        <is>
          <t>PROCHAINES ÉTAPES</t>
        </is>
      </c>
    </row>
    <row r="26">
      <c r="A26" s="17" t="inlineStr"/>
    </row>
    <row r="27">
      <c r="A27" s="17" t="inlineStr">
        <is>
          <t>Si votre score est élevé, utilisez les autres templates de cette formation :</t>
        </is>
      </c>
    </row>
    <row r="28">
      <c r="A28" s="17" t="inlineStr">
        <is>
          <t>→ Registre IA pour inventorier vos systèmes</t>
        </is>
      </c>
    </row>
    <row r="29">
      <c r="A29" s="17" t="inlineStr">
        <is>
          <t>→ Matrice de classification pour catégoriser chaque système</t>
        </is>
      </c>
    </row>
    <row r="30">
      <c r="A30" s="17" t="inlineStr">
        <is>
          <t>→ Plan d'action 90 jours pour organiser votre mise en conformité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2025-12-26T20:08:00Z</dcterms:created>
  <dcterms:modified xmlns:dcterms="http://purl.org/dc/terms/" xmlns:xsi="http://www.w3.org/2001/XMLSchema-instance" xsi:type="dcterms:W3CDTF">2025-12-26T20:08:00Z</dcterms:modified>
</cp:coreProperties>
</file>