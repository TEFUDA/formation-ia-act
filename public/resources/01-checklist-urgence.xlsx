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au de Bord" sheetId="1" state="visible" r:id="rId1"/>
    <sheet xmlns:r="http://schemas.openxmlformats.org/officeDocument/2006/relationships" name="Evaluation" sheetId="2" state="visible" r:id="rId2"/>
    <sheet xmlns:r="http://schemas.openxmlformats.org/officeDocument/2006/relationships" name="Plan Action" sheetId="3" state="visible" r:id="rId3"/>
    <sheet xmlns:r="http://schemas.openxmlformats.org/officeDocument/2006/relationships" name="Guide Utilis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404040"/>
      <sz val="10"/>
    </font>
    <font>
      <b val="1"/>
      <color rgb="001F4E79"/>
      <sz val="12"/>
    </font>
    <font>
      <b val="1"/>
      <color rgb="001F4E79"/>
      <sz val="24"/>
    </font>
    <font>
      <b val="1"/>
      <sz val="14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BDD7EE"/>
        <bgColor rgb="00BDD7EE"/>
      </patternFill>
    </fill>
    <fill>
      <patternFill patternType="solid">
        <fgColor rgb="002E75B6"/>
        <bgColor rgb="002E75B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0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9" fontId="0" fillId="5" borderId="1" pivotButton="0" quotePrefix="0" xfId="0"/>
    <xf numFmtId="9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2" customWidth="1" min="4" max="4"/>
    <col width="15" customWidth="1" min="5" max="5"/>
    <col width="12" customWidth="1" min="6" max="6"/>
    <col width="12" customWidth="1" min="7" max="7"/>
    <col width="20" customWidth="1" min="8" max="8"/>
  </cols>
  <sheetData>
    <row r="1" ht="35" customHeight="1">
      <c r="A1" s="1" t="inlineStr">
        <is>
          <t>🚨 TABLEAU DE BORD - ÉVALUATION URGENCE AI ACT</t>
        </is>
      </c>
    </row>
    <row r="3" ht="25" customHeight="1">
      <c r="A3" s="2" t="inlineStr">
        <is>
          <t>Entreprise :</t>
        </is>
      </c>
      <c r="B3" t="inlineStr"/>
      <c r="D3" s="2" t="inlineStr">
        <is>
          <t>Date d'évaluation :</t>
        </is>
      </c>
      <c r="E3" t="inlineStr"/>
      <c r="G3" s="2" t="inlineStr">
        <is>
          <t>Évaluateur :</t>
        </is>
      </c>
      <c r="H3" t="inlineStr"/>
    </row>
    <row r="5">
      <c r="A5" s="3" t="inlineStr">
        <is>
          <t>SCORE GLOBAL DE CONFORMITÉ</t>
        </is>
      </c>
    </row>
    <row r="7">
      <c r="A7" s="2" t="inlineStr">
        <is>
          <t>Score</t>
        </is>
      </c>
      <c r="B7" s="4">
        <f>ROUND(Evaluation!M2*100,0)&amp;"%"</f>
        <v/>
      </c>
      <c r="E7" s="2" t="inlineStr">
        <is>
          <t>Inventaire</t>
        </is>
      </c>
      <c r="F7" s="5">
        <f>Evaluation!M3</f>
        <v/>
      </c>
      <c r="G7" s="2" t="inlineStr">
        <is>
          <t>Formation</t>
        </is>
      </c>
      <c r="H7" s="5">
        <f>Evaluation!M6</f>
        <v/>
      </c>
    </row>
    <row r="8">
      <c r="A8" s="2" t="inlineStr">
        <is>
          <t>Global</t>
        </is>
      </c>
      <c r="E8" s="2" t="inlineStr">
        <is>
          <t>Classification</t>
        </is>
      </c>
      <c r="F8" s="5">
        <f>Evaluation!M4</f>
        <v/>
      </c>
      <c r="G8" s="2" t="inlineStr">
        <is>
          <t>Transparence</t>
        </is>
      </c>
      <c r="H8" s="5">
        <f>Evaluation!M7</f>
        <v/>
      </c>
    </row>
    <row r="9">
      <c r="E9" s="2" t="inlineStr">
        <is>
          <t>Documentation</t>
        </is>
      </c>
      <c r="F9" s="5">
        <f>Evaluation!M5</f>
        <v/>
      </c>
      <c r="G9" s="2" t="inlineStr">
        <is>
          <t>Supervision</t>
        </is>
      </c>
      <c r="H9" s="5">
        <f>Evaluation!M8</f>
        <v/>
      </c>
    </row>
    <row r="11">
      <c r="A11" s="3" t="inlineStr">
        <is>
          <t>NIVEAU DE RISQUE ACTUEL</t>
        </is>
      </c>
    </row>
    <row r="13">
      <c r="B13" s="6">
        <f>IF(Evaluation!M2&gt;=0.8,"✅ FAIBLE - Vous êtes bien préparé",IF(Evaluation!M2&gt;=0.5,"⚠️ MODÉRÉ - Actions prioritaires requises","🚨 CRITIQUE - Action immédiate nécessaire"))</f>
        <v/>
      </c>
    </row>
    <row r="15">
      <c r="A15" s="3" t="inlineStr">
        <is>
          <t>🎯 ACTIONS PRIORITAIRES IDENTIFIÉES</t>
        </is>
      </c>
    </row>
    <row r="17">
      <c r="A17" s="7" t="inlineStr">
        <is>
          <t>#</t>
        </is>
      </c>
      <c r="B17" s="7" t="inlineStr">
        <is>
          <t>Action requise</t>
        </is>
      </c>
      <c r="C17" s="7" t="inlineStr">
        <is>
          <t>Catégorie</t>
        </is>
      </c>
      <c r="D17" s="7" t="inlineStr">
        <is>
          <t>Priorité</t>
        </is>
      </c>
      <c r="E17" s="7" t="inlineStr">
        <is>
          <t>Responsable</t>
        </is>
      </c>
      <c r="F17" s="7" t="inlineStr">
        <is>
          <t>Échéance</t>
        </is>
      </c>
      <c r="G17" s="7" t="inlineStr">
        <is>
          <t>Statut</t>
        </is>
      </c>
      <c r="H17" s="7" t="inlineStr">
        <is>
          <t>Notes</t>
        </is>
      </c>
    </row>
    <row r="18">
      <c r="A18" s="8" t="n">
        <v>1</v>
      </c>
      <c r="B18" s="8" t="n"/>
      <c r="C18" s="8" t="n"/>
      <c r="D18" s="8" t="n"/>
      <c r="E18" s="8" t="n"/>
      <c r="F18" s="8" t="n"/>
      <c r="G18" s="8" t="n"/>
      <c r="H18" s="8" t="n"/>
    </row>
    <row r="19">
      <c r="A19" s="9" t="n">
        <v>2</v>
      </c>
      <c r="B19" s="9" t="n"/>
      <c r="C19" s="9" t="n"/>
      <c r="D19" s="9" t="n"/>
      <c r="E19" s="9" t="n"/>
      <c r="F19" s="9" t="n"/>
      <c r="G19" s="9" t="n"/>
      <c r="H19" s="9" t="n"/>
    </row>
    <row r="20">
      <c r="A20" s="8" t="n">
        <v>3</v>
      </c>
      <c r="B20" s="8" t="n"/>
      <c r="C20" s="8" t="n"/>
      <c r="D20" s="8" t="n"/>
      <c r="E20" s="8" t="n"/>
      <c r="F20" s="8" t="n"/>
      <c r="G20" s="8" t="n"/>
      <c r="H20" s="8" t="n"/>
    </row>
    <row r="21">
      <c r="A21" s="9" t="n">
        <v>4</v>
      </c>
      <c r="B21" s="9" t="n"/>
      <c r="C21" s="9" t="n"/>
      <c r="D21" s="9" t="n"/>
      <c r="E21" s="9" t="n"/>
      <c r="F21" s="9" t="n"/>
      <c r="G21" s="9" t="n"/>
      <c r="H21" s="9" t="n"/>
    </row>
    <row r="22">
      <c r="A22" s="8" t="n">
        <v>5</v>
      </c>
      <c r="B22" s="8" t="n"/>
      <c r="C22" s="8" t="n"/>
      <c r="D22" s="8" t="n"/>
      <c r="E22" s="8" t="n"/>
      <c r="F22" s="8" t="n"/>
      <c r="G22" s="8" t="n"/>
      <c r="H22" s="8" t="n"/>
    </row>
    <row r="23">
      <c r="A23" s="9" t="n">
        <v>6</v>
      </c>
      <c r="B23" s="9" t="n"/>
      <c r="C23" s="9" t="n"/>
      <c r="D23" s="9" t="n"/>
      <c r="E23" s="9" t="n"/>
      <c r="F23" s="9" t="n"/>
      <c r="G23" s="9" t="n"/>
      <c r="H23" s="9" t="n"/>
    </row>
    <row r="24">
      <c r="A24" s="8" t="n">
        <v>7</v>
      </c>
      <c r="B24" s="8" t="n"/>
      <c r="C24" s="8" t="n"/>
      <c r="D24" s="8" t="n"/>
      <c r="E24" s="8" t="n"/>
      <c r="F24" s="8" t="n"/>
      <c r="G24" s="8" t="n"/>
      <c r="H24" s="8" t="n"/>
    </row>
    <row r="25">
      <c r="A25" s="9" t="n">
        <v>8</v>
      </c>
      <c r="B25" s="9" t="n"/>
      <c r="C25" s="9" t="n"/>
      <c r="D25" s="9" t="n"/>
      <c r="E25" s="9" t="n"/>
      <c r="F25" s="9" t="n"/>
      <c r="G25" s="9" t="n"/>
      <c r="H25" s="9" t="n"/>
    </row>
    <row r="26">
      <c r="A26" s="8" t="n">
        <v>9</v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n">
        <v>10</v>
      </c>
      <c r="B27" s="9" t="n"/>
      <c r="C27" s="9" t="n"/>
      <c r="D27" s="9" t="n"/>
      <c r="E27" s="9" t="n"/>
      <c r="F27" s="9" t="n"/>
      <c r="G27" s="9" t="n"/>
      <c r="H27" s="9" t="n"/>
    </row>
    <row r="30">
      <c r="A30" s="3" t="inlineStr">
        <is>
          <t>📋 PROCHAINES ÉTAPES RECOMMANDÉES</t>
        </is>
      </c>
    </row>
    <row r="32">
      <c r="A32" t="inlineStr">
        <is>
          <t>1. Compléter l'onglet 'Evaluation' avec vos réponses actuelles</t>
        </is>
      </c>
    </row>
    <row r="33">
      <c r="A33" t="inlineStr">
        <is>
          <t>2. Identifier les systèmes IA à haut risque (utiliser le calculateur de classification)</t>
        </is>
      </c>
    </row>
    <row r="34">
      <c r="A34" t="inlineStr">
        <is>
          <t>3. Prioriser les actions selon le niveau de risque</t>
        </is>
      </c>
    </row>
    <row r="35">
      <c r="A35" t="inlineStr">
        <is>
          <t>4. Assigner des responsables et des échéances</t>
        </is>
      </c>
    </row>
    <row r="36">
      <c r="A36" t="inlineStr">
        <is>
          <t>5. Planifier une revue de suivi dans 2 semaines</t>
        </is>
      </c>
    </row>
  </sheetData>
  <mergeCells count="12">
    <mergeCell ref="A1:H1"/>
    <mergeCell ref="A30:H30"/>
    <mergeCell ref="A15:H15"/>
    <mergeCell ref="A35:H35"/>
    <mergeCell ref="B7:C9"/>
    <mergeCell ref="B13:D13"/>
    <mergeCell ref="A33:H33"/>
    <mergeCell ref="A11:H11"/>
    <mergeCell ref="A36:H36"/>
    <mergeCell ref="A5:H5"/>
    <mergeCell ref="A32:H32"/>
    <mergeCell ref="A34:H34"/>
  </mergeCells>
  <dataValidations count="2">
    <dataValidation sqref="D18 D19 D20 D21 D22 D23 D24 D25 D26 D27" showDropDown="0" showInputMessage="0" showErrorMessage="0" allowBlank="1" type="list">
      <formula1>"🔴 Critique,🟠 Haute,🟡 Moyenne,🟢 Basse"</formula1>
    </dataValidation>
    <dataValidation sqref="G18 G19 G20 G21 G22 G23 G24 G25 G26 G27" showDropDown="0" showInputMessage="0" showErrorMessage="0" allowBlank="1" type="list">
      <formula1>"⏳ À faire,🔄 En cours,✅ Terminé,⏸️ En pause"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50" customWidth="1" min="3" max="3"/>
    <col width="12" customWidth="1" min="4" max="4"/>
    <col width="12" customWidth="1" min="5" max="5"/>
    <col width="8" customWidth="1" min="6" max="6"/>
    <col width="15" customWidth="1" min="7" max="7"/>
    <col width="15" customWidth="1" min="8" max="8"/>
    <col width="12" customWidth="1" min="9" max="9"/>
    <col width="25" customWidth="1" min="10" max="10"/>
    <col width="20" customWidth="1" min="11" max="11"/>
    <col width="10" customWidth="1" min="12" max="12"/>
    <col width="12" customWidth="1" min="13" max="13"/>
  </cols>
  <sheetData>
    <row r="1" ht="35" customHeight="1">
      <c r="A1" s="1" t="inlineStr">
        <is>
          <t>📋 ÉVALUATION DÉTAILLÉE - CHECKLIST DE CONFORMITÉ</t>
        </is>
      </c>
    </row>
    <row r="2">
      <c r="M2">
        <f>AVERAGE(F4:F30)</f>
        <v/>
      </c>
    </row>
    <row r="3">
      <c r="A3" s="10" t="inlineStr">
        <is>
          <t>Cat.</t>
        </is>
      </c>
      <c r="B3" s="10" t="inlineStr">
        <is>
          <t>N°</t>
        </is>
      </c>
      <c r="C3" s="10" t="inlineStr">
        <is>
          <t>Question d'évaluation</t>
        </is>
      </c>
      <c r="D3" s="10" t="inlineStr">
        <is>
          <t>Criticité</t>
        </is>
      </c>
      <c r="E3" s="10" t="inlineStr">
        <is>
          <t>Réponse</t>
        </is>
      </c>
      <c r="F3" s="10" t="inlineStr">
        <is>
          <t>Score</t>
        </is>
      </c>
      <c r="G3" s="10" t="inlineStr">
        <is>
          <t>Preuve disponible</t>
        </is>
      </c>
      <c r="H3" s="10" t="inlineStr">
        <is>
          <t>Responsable</t>
        </is>
      </c>
      <c r="I3" s="10" t="inlineStr">
        <is>
          <t>Date vérif.</t>
        </is>
      </c>
      <c r="J3" s="10" t="inlineStr">
        <is>
          <t>Commentaires</t>
        </is>
      </c>
      <c r="K3" s="10" t="inlineStr">
        <is>
          <t>Action requise</t>
        </is>
      </c>
      <c r="L3" s="10" t="inlineStr">
        <is>
          <t>Priorité action</t>
        </is>
      </c>
      <c r="M3" s="10">
        <f>AVERAGEIF(A4:A30,"INV",F4:F30)</f>
        <v/>
      </c>
    </row>
    <row r="4">
      <c r="A4" s="8" t="inlineStr">
        <is>
          <t>INV</t>
        </is>
      </c>
      <c r="B4" s="8" t="inlineStr">
        <is>
          <t>1.1</t>
        </is>
      </c>
      <c r="C4" s="8" t="inlineStr">
        <is>
          <t>Disposez-vous d'une liste exhaustive de tous vos systèmes IA ?</t>
        </is>
      </c>
      <c r="D4" s="8" t="inlineStr">
        <is>
          <t>🔴 Bloquant</t>
        </is>
      </c>
      <c r="E4" s="8" t="inlineStr"/>
      <c r="F4" s="8">
        <f>IF(E4="✅ Oui",1,IF(E4="🔄 En cours",0.5,IF(E4="➖ N/A","N/A",0)))</f>
        <v/>
      </c>
      <c r="G4" s="8" t="inlineStr"/>
      <c r="H4" s="8" t="inlineStr"/>
      <c r="I4" s="8" t="inlineStr"/>
      <c r="J4" s="8" t="inlineStr"/>
      <c r="K4" s="8" t="inlineStr"/>
      <c r="L4" s="8" t="inlineStr"/>
      <c r="M4" s="8">
        <f>AVERAGEIF(A4:A30,"CLASS",F4:F30)</f>
        <v/>
      </c>
    </row>
    <row r="5">
      <c r="A5" s="9" t="inlineStr">
        <is>
          <t>INV</t>
        </is>
      </c>
      <c r="B5" s="9" t="inlineStr">
        <is>
          <t>1.2</t>
        </is>
      </c>
      <c r="C5" s="9" t="inlineStr">
        <is>
          <t>Chaque système IA est-il documenté avec ses caractéristiques principales ?</t>
        </is>
      </c>
      <c r="D5" s="9" t="inlineStr">
        <is>
          <t>🔴 Bloquant</t>
        </is>
      </c>
      <c r="E5" s="9" t="inlineStr"/>
      <c r="F5" s="9">
        <f>IF(E5="✅ Oui",1,IF(E5="🔄 En cours",0.5,IF(E5="➖ N/A","N/A",0)))</f>
        <v/>
      </c>
      <c r="G5" s="9" t="inlineStr"/>
      <c r="H5" s="9" t="inlineStr"/>
      <c r="I5" s="9" t="inlineStr"/>
      <c r="J5" s="9" t="inlineStr"/>
      <c r="K5" s="9" t="inlineStr"/>
      <c r="L5" s="9" t="inlineStr"/>
      <c r="M5" s="9">
        <f>AVERAGEIF(A4:A30,"DOC",F4:F30)</f>
        <v/>
      </c>
    </row>
    <row r="6">
      <c r="A6" s="8" t="inlineStr">
        <is>
          <t>INV</t>
        </is>
      </c>
      <c r="B6" s="8" t="inlineStr">
        <is>
          <t>1.3</t>
        </is>
      </c>
      <c r="C6" s="8" t="inlineStr">
        <is>
          <t>Le registre est-il tenu à jour (màj &lt; 3 mois) ?</t>
        </is>
      </c>
      <c r="D6" s="8" t="inlineStr">
        <is>
          <t>🟠 Majeur</t>
        </is>
      </c>
      <c r="E6" s="8" t="inlineStr"/>
      <c r="F6" s="8">
        <f>IF(E6="✅ Oui",1,IF(E6="🔄 En cours",0.5,IF(E6="➖ N/A","N/A",0)))</f>
        <v/>
      </c>
      <c r="G6" s="8" t="inlineStr"/>
      <c r="H6" s="8" t="inlineStr"/>
      <c r="I6" s="8" t="inlineStr"/>
      <c r="J6" s="8" t="inlineStr"/>
      <c r="K6" s="8" t="inlineStr"/>
      <c r="L6" s="8" t="inlineStr"/>
      <c r="M6" s="8">
        <f>AVERAGEIF(A4:A30,"FORM",F4:F30)</f>
        <v/>
      </c>
    </row>
    <row r="7">
      <c r="A7" s="9" t="inlineStr">
        <is>
          <t>INV</t>
        </is>
      </c>
      <c r="B7" s="9" t="inlineStr">
        <is>
          <t>1.4</t>
        </is>
      </c>
      <c r="C7" s="9" t="inlineStr">
        <is>
          <t>Les systèmes IA des fournisseurs externes sont-ils inclus ?</t>
        </is>
      </c>
      <c r="D7" s="9" t="inlineStr">
        <is>
          <t>🔴 Bloquant</t>
        </is>
      </c>
      <c r="E7" s="9" t="inlineStr"/>
      <c r="F7" s="9">
        <f>IF(E7="✅ Oui",1,IF(E7="🔄 En cours",0.5,IF(E7="➖ N/A","N/A",0)))</f>
        <v/>
      </c>
      <c r="G7" s="9" t="inlineStr"/>
      <c r="H7" s="9" t="inlineStr"/>
      <c r="I7" s="9" t="inlineStr"/>
      <c r="J7" s="9" t="inlineStr"/>
      <c r="K7" s="9" t="inlineStr"/>
      <c r="L7" s="9" t="inlineStr"/>
      <c r="M7" s="9">
        <f>AVERAGEIF(A4:A30,"TRANS",F4:F30)</f>
        <v/>
      </c>
    </row>
    <row r="8">
      <c r="A8" s="8" t="inlineStr">
        <is>
          <t>INV</t>
        </is>
      </c>
      <c r="B8" s="8" t="inlineStr">
        <is>
          <t>1.5</t>
        </is>
      </c>
      <c r="C8" s="8" t="inlineStr">
        <is>
          <t>Un responsable est-il désigné pour chaque système ?</t>
        </is>
      </c>
      <c r="D8" s="8" t="inlineStr">
        <is>
          <t>🟠 Majeur</t>
        </is>
      </c>
      <c r="E8" s="8" t="inlineStr"/>
      <c r="F8" s="8">
        <f>IF(E8="✅ Oui",1,IF(E8="🔄 En cours",0.5,IF(E8="➖ N/A","N/A",0)))</f>
        <v/>
      </c>
      <c r="G8" s="8" t="inlineStr"/>
      <c r="H8" s="8" t="inlineStr"/>
      <c r="I8" s="8" t="inlineStr"/>
      <c r="J8" s="8" t="inlineStr"/>
      <c r="K8" s="8" t="inlineStr"/>
      <c r="L8" s="8" t="inlineStr"/>
      <c r="M8" s="8">
        <f>AVERAGEIF(A4:A30,"SUP",F4:F30)</f>
        <v/>
      </c>
    </row>
    <row r="9">
      <c r="A9" s="9" t="inlineStr">
        <is>
          <t>CLASS</t>
        </is>
      </c>
      <c r="B9" s="9" t="inlineStr">
        <is>
          <t>2.1</t>
        </is>
      </c>
      <c r="C9" s="9" t="inlineStr">
        <is>
          <t>Tous les systèmes ont-ils été classifiés selon l'AI Act ?</t>
        </is>
      </c>
      <c r="D9" s="9" t="inlineStr">
        <is>
          <t>🔴 Bloquant</t>
        </is>
      </c>
      <c r="E9" s="9" t="inlineStr"/>
      <c r="F9" s="9">
        <f>IF(E9="✅ Oui",1,IF(E9="🔄 En cours",0.5,IF(E9="➖ N/A","N/A",0)))</f>
        <v/>
      </c>
      <c r="G9" s="9" t="inlineStr"/>
      <c r="H9" s="9" t="inlineStr"/>
      <c r="I9" s="9" t="inlineStr"/>
      <c r="J9" s="9" t="inlineStr"/>
      <c r="K9" s="9" t="inlineStr"/>
      <c r="L9" s="9" t="inlineStr"/>
      <c r="M9" s="9" t="inlineStr">
        <is>
          <t>Art. 6</t>
        </is>
      </c>
    </row>
    <row r="10">
      <c r="A10" s="8" t="inlineStr">
        <is>
          <t>CLASS</t>
        </is>
      </c>
      <c r="B10" s="8" t="inlineStr">
        <is>
          <t>2.2</t>
        </is>
      </c>
      <c r="C10" s="8" t="inlineStr">
        <is>
          <t>Les systèmes à haut risque sont-ils clairement identifiés ?</t>
        </is>
      </c>
      <c r="D10" s="8" t="inlineStr">
        <is>
          <t>🔴 Bloquant</t>
        </is>
      </c>
      <c r="E10" s="8" t="inlineStr"/>
      <c r="F10" s="8">
        <f>IF(E10="✅ Oui",1,IF(E10="🔄 En cours",0.5,IF(E10="➖ N/A","N/A",0)))</f>
        <v/>
      </c>
      <c r="G10" s="8" t="inlineStr"/>
      <c r="H10" s="8" t="inlineStr"/>
      <c r="I10" s="8" t="inlineStr"/>
      <c r="J10" s="8" t="inlineStr"/>
      <c r="K10" s="8" t="inlineStr"/>
      <c r="L10" s="8" t="inlineStr"/>
      <c r="M10" s="8" t="inlineStr">
        <is>
          <t>Annexe III</t>
        </is>
      </c>
    </row>
    <row r="11">
      <c r="A11" s="9" t="inlineStr">
        <is>
          <t>CLASS</t>
        </is>
      </c>
      <c r="B11" s="9" t="inlineStr">
        <is>
          <t>2.3</t>
        </is>
      </c>
      <c r="C11" s="9" t="inlineStr">
        <is>
          <t>La méthodologie de classification est-elle documentée ?</t>
        </is>
      </c>
      <c r="D11" s="9" t="inlineStr">
        <is>
          <t>🟠 Majeur</t>
        </is>
      </c>
      <c r="E11" s="9" t="inlineStr"/>
      <c r="F11" s="9">
        <f>IF(E11="✅ Oui",1,IF(E11="🔄 En cours",0.5,IF(E11="➖ N/A","N/A",0)))</f>
        <v/>
      </c>
      <c r="G11" s="9" t="inlineStr"/>
      <c r="H11" s="9" t="inlineStr"/>
      <c r="I11" s="9" t="inlineStr"/>
      <c r="J11" s="9" t="inlineStr"/>
      <c r="K11" s="9" t="inlineStr"/>
      <c r="L11" s="9" t="inlineStr"/>
      <c r="M11" s="9" t="inlineStr">
        <is>
          <t>Art. 6</t>
        </is>
      </c>
    </row>
    <row r="12">
      <c r="A12" s="8" t="inlineStr">
        <is>
          <t>CLASS</t>
        </is>
      </c>
      <c r="B12" s="8" t="inlineStr">
        <is>
          <t>2.4</t>
        </is>
      </c>
      <c r="C12" s="8" t="inlineStr">
        <is>
          <t>Les classifications ont-elles été validées par un expert ?</t>
        </is>
      </c>
      <c r="D12" s="8" t="inlineStr">
        <is>
          <t>🟡 Mineur</t>
        </is>
      </c>
      <c r="E12" s="8" t="inlineStr"/>
      <c r="F12" s="8">
        <f>IF(E12="✅ Oui",1,IF(E12="🔄 En cours",0.5,IF(E12="➖ N/A","N/A",0)))</f>
        <v/>
      </c>
      <c r="G12" s="8" t="inlineStr"/>
      <c r="H12" s="8" t="inlineStr"/>
      <c r="I12" s="8" t="inlineStr"/>
      <c r="J12" s="8" t="inlineStr"/>
      <c r="K12" s="8" t="inlineStr"/>
      <c r="L12" s="8" t="inlineStr"/>
      <c r="M12" s="8" t="inlineStr">
        <is>
          <t>Art. 6</t>
        </is>
      </c>
    </row>
    <row r="13">
      <c r="A13" s="9" t="inlineStr">
        <is>
          <t>DOC</t>
        </is>
      </c>
      <c r="B13" s="9" t="inlineStr">
        <is>
          <t>3.1</t>
        </is>
      </c>
      <c r="C13" s="9" t="inlineStr">
        <is>
          <t>Disposez-vous d'une politique IA formalisée ?</t>
        </is>
      </c>
      <c r="D13" s="9" t="inlineStr">
        <is>
          <t>🔴 Bloquant</t>
        </is>
      </c>
      <c r="E13" s="9" t="inlineStr"/>
      <c r="F13" s="9">
        <f>IF(E13="✅ Oui",1,IF(E13="🔄 En cours",0.5,IF(E13="➖ N/A","N/A",0)))</f>
        <v/>
      </c>
      <c r="G13" s="9" t="inlineStr"/>
      <c r="H13" s="9" t="inlineStr"/>
      <c r="I13" s="9" t="inlineStr"/>
      <c r="J13" s="9" t="inlineStr"/>
      <c r="K13" s="9" t="inlineStr"/>
      <c r="L13" s="9" t="inlineStr"/>
      <c r="M13" s="9" t="inlineStr">
        <is>
          <t>Art. 26</t>
        </is>
      </c>
    </row>
    <row r="14">
      <c r="A14" s="8" t="inlineStr">
        <is>
          <t>DOC</t>
        </is>
      </c>
      <c r="B14" s="8" t="inlineStr">
        <is>
          <t>3.2</t>
        </is>
      </c>
      <c r="C14" s="8" t="inlineStr">
        <is>
          <t>Les AIPD sont-elles réalisées pour les systèmes haut risque ?</t>
        </is>
      </c>
      <c r="D14" s="8" t="inlineStr">
        <is>
          <t>🔴 Bloquant</t>
        </is>
      </c>
      <c r="E14" s="8" t="inlineStr"/>
      <c r="F14" s="8">
        <f>IF(E14="✅ Oui",1,IF(E14="🔄 En cours",0.5,IF(E14="➖ N/A","N/A",0)))</f>
        <v/>
      </c>
      <c r="G14" s="8" t="inlineStr"/>
      <c r="H14" s="8" t="inlineStr"/>
      <c r="I14" s="8" t="inlineStr"/>
      <c r="J14" s="8" t="inlineStr"/>
      <c r="K14" s="8" t="inlineStr"/>
      <c r="L14" s="8" t="inlineStr"/>
      <c r="M14" s="8" t="inlineStr">
        <is>
          <t>Art. 9</t>
        </is>
      </c>
    </row>
    <row r="15">
      <c r="A15" s="9" t="inlineStr">
        <is>
          <t>DOC</t>
        </is>
      </c>
      <c r="B15" s="9" t="inlineStr">
        <is>
          <t>3.3</t>
        </is>
      </c>
      <c r="C15" s="9" t="inlineStr">
        <is>
          <t>La documentation technique des fournisseurs est-elle disponible ?</t>
        </is>
      </c>
      <c r="D15" s="9" t="inlineStr">
        <is>
          <t>🔴 Bloquant</t>
        </is>
      </c>
      <c r="E15" s="9" t="inlineStr"/>
      <c r="F15" s="9">
        <f>IF(E15="✅ Oui",1,IF(E15="🔄 En cours",0.5,IF(E15="➖ N/A","N/A",0)))</f>
        <v/>
      </c>
      <c r="G15" s="9" t="inlineStr"/>
      <c r="H15" s="9" t="inlineStr"/>
      <c r="I15" s="9" t="inlineStr"/>
      <c r="J15" s="9" t="inlineStr"/>
      <c r="K15" s="9" t="inlineStr"/>
      <c r="L15" s="9" t="inlineStr"/>
      <c r="M15" s="9" t="inlineStr">
        <is>
          <t>Art. 13</t>
        </is>
      </c>
    </row>
    <row r="16">
      <c r="A16" s="8" t="inlineStr">
        <is>
          <t>DOC</t>
        </is>
      </c>
      <c r="B16" s="8" t="inlineStr">
        <is>
          <t>3.4</t>
        </is>
      </c>
      <c r="C16" s="8" t="inlineStr">
        <is>
          <t>Les procédures d'utilisation sont-elles documentées ?</t>
        </is>
      </c>
      <c r="D16" s="8" t="inlineStr">
        <is>
          <t>🟠 Majeur</t>
        </is>
      </c>
      <c r="E16" s="8" t="inlineStr"/>
      <c r="F16" s="8">
        <f>IF(E16="✅ Oui",1,IF(E16="🔄 En cours",0.5,IF(E16="➖ N/A","N/A",0)))</f>
        <v/>
      </c>
      <c r="G16" s="8" t="inlineStr"/>
      <c r="H16" s="8" t="inlineStr"/>
      <c r="I16" s="8" t="inlineStr"/>
      <c r="J16" s="8" t="inlineStr"/>
      <c r="K16" s="8" t="inlineStr"/>
      <c r="L16" s="8" t="inlineStr"/>
      <c r="M16" s="8" t="inlineStr">
        <is>
          <t>Art. 26</t>
        </is>
      </c>
    </row>
    <row r="17">
      <c r="A17" s="9" t="inlineStr">
        <is>
          <t>DOC</t>
        </is>
      </c>
      <c r="B17" s="9" t="inlineStr">
        <is>
          <t>3.5</t>
        </is>
      </c>
      <c r="C17" s="9" t="inlineStr">
        <is>
          <t>Les logs de décisions sont-ils conservés (haut risque) ?</t>
        </is>
      </c>
      <c r="D17" s="9" t="inlineStr">
        <is>
          <t>🔴 Bloquant</t>
        </is>
      </c>
      <c r="E17" s="9" t="inlineStr"/>
      <c r="F17" s="9">
        <f>IF(E17="✅ Oui",1,IF(E17="🔄 En cours",0.5,IF(E17="➖ N/A","N/A",0)))</f>
        <v/>
      </c>
      <c r="G17" s="9" t="inlineStr"/>
      <c r="H17" s="9" t="inlineStr"/>
      <c r="I17" s="9" t="inlineStr"/>
      <c r="J17" s="9" t="inlineStr"/>
      <c r="K17" s="9" t="inlineStr"/>
      <c r="L17" s="9" t="inlineStr"/>
      <c r="M17" s="9" t="inlineStr">
        <is>
          <t>Art. 12</t>
        </is>
      </c>
    </row>
    <row r="18">
      <c r="A18" s="8" t="inlineStr">
        <is>
          <t>FORM</t>
        </is>
      </c>
      <c r="B18" s="8" t="inlineStr">
        <is>
          <t>4.1</t>
        </is>
      </c>
      <c r="C18" s="8" t="inlineStr">
        <is>
          <t>Les opérateurs IA sont-ils formés (Article 4) ?</t>
        </is>
      </c>
      <c r="D18" s="8" t="inlineStr">
        <is>
          <t>🔴 Bloquant</t>
        </is>
      </c>
      <c r="E18" s="8" t="inlineStr"/>
      <c r="F18" s="8">
        <f>IF(E18="✅ Oui",1,IF(E18="🔄 En cours",0.5,IF(E18="➖ N/A","N/A",0)))</f>
        <v/>
      </c>
      <c r="G18" s="8" t="inlineStr"/>
      <c r="H18" s="8" t="inlineStr"/>
      <c r="I18" s="8" t="inlineStr"/>
      <c r="J18" s="8" t="inlineStr"/>
      <c r="K18" s="8" t="inlineStr"/>
      <c r="L18" s="8" t="inlineStr"/>
      <c r="M18" s="8" t="inlineStr">
        <is>
          <t>Art. 4</t>
        </is>
      </c>
    </row>
    <row r="19">
      <c r="A19" s="9" t="inlineStr">
        <is>
          <t>FORM</t>
        </is>
      </c>
      <c r="B19" s="9" t="inlineStr">
        <is>
          <t>4.2</t>
        </is>
      </c>
      <c r="C19" s="9" t="inlineStr">
        <is>
          <t>Des attestations de formation existent-elles ?</t>
        </is>
      </c>
      <c r="D19" s="9" t="inlineStr">
        <is>
          <t>🟠 Majeur</t>
        </is>
      </c>
      <c r="E19" s="9" t="inlineStr"/>
      <c r="F19" s="9">
        <f>IF(E19="✅ Oui",1,IF(E19="🔄 En cours",0.5,IF(E19="➖ N/A","N/A",0)))</f>
        <v/>
      </c>
      <c r="G19" s="9" t="inlineStr"/>
      <c r="H19" s="9" t="inlineStr"/>
      <c r="I19" s="9" t="inlineStr"/>
      <c r="J19" s="9" t="inlineStr"/>
      <c r="K19" s="9" t="inlineStr"/>
      <c r="L19" s="9" t="inlineStr"/>
      <c r="M19" s="9" t="inlineStr">
        <is>
          <t>Art. 4</t>
        </is>
      </c>
    </row>
    <row r="20">
      <c r="A20" s="8" t="inlineStr">
        <is>
          <t>FORM</t>
        </is>
      </c>
      <c r="B20" s="8" t="inlineStr">
        <is>
          <t>4.3</t>
        </is>
      </c>
      <c r="C20" s="8" t="inlineStr">
        <is>
          <t>Un plan de formation continue est-il en place ?</t>
        </is>
      </c>
      <c r="D20" s="8" t="inlineStr">
        <is>
          <t>🟡 Mineur</t>
        </is>
      </c>
      <c r="E20" s="8" t="inlineStr"/>
      <c r="F20" s="8">
        <f>IF(E20="✅ Oui",1,IF(E20="🔄 En cours",0.5,IF(E20="➖ N/A","N/A",0)))</f>
        <v/>
      </c>
      <c r="G20" s="8" t="inlineStr"/>
      <c r="H20" s="8" t="inlineStr"/>
      <c r="I20" s="8" t="inlineStr"/>
      <c r="J20" s="8" t="inlineStr"/>
      <c r="K20" s="8" t="inlineStr"/>
      <c r="L20" s="8" t="inlineStr"/>
      <c r="M20" s="8" t="inlineStr">
        <is>
          <t>Art. 4</t>
        </is>
      </c>
    </row>
    <row r="21">
      <c r="A21" s="9" t="inlineStr">
        <is>
          <t>FORM</t>
        </is>
      </c>
      <c r="B21" s="9" t="inlineStr">
        <is>
          <t>4.4</t>
        </is>
      </c>
      <c r="C21" s="9" t="inlineStr">
        <is>
          <t>La direction est-elle sensibilisée aux enjeux AI Act ?</t>
        </is>
      </c>
      <c r="D21" s="9" t="inlineStr">
        <is>
          <t>🟠 Majeur</t>
        </is>
      </c>
      <c r="E21" s="9" t="inlineStr"/>
      <c r="F21" s="9">
        <f>IF(E21="✅ Oui",1,IF(E21="🔄 En cours",0.5,IF(E21="➖ N/A","N/A",0)))</f>
        <v/>
      </c>
      <c r="G21" s="9" t="inlineStr"/>
      <c r="H21" s="9" t="inlineStr"/>
      <c r="I21" s="9" t="inlineStr"/>
      <c r="J21" s="9" t="inlineStr"/>
      <c r="K21" s="9" t="inlineStr"/>
      <c r="L21" s="9" t="inlineStr"/>
      <c r="M21" s="9" t="inlineStr">
        <is>
          <t>Art. 4</t>
        </is>
      </c>
    </row>
    <row r="22">
      <c r="A22" s="8" t="inlineStr">
        <is>
          <t>TRANS</t>
        </is>
      </c>
      <c r="B22" s="8" t="inlineStr">
        <is>
          <t>5.1</t>
        </is>
      </c>
      <c r="C22" s="8" t="inlineStr">
        <is>
          <t>Les utilisateurs sont-ils informés qu'ils interagissent avec une IA ?</t>
        </is>
      </c>
      <c r="D22" s="8" t="inlineStr">
        <is>
          <t>🔴 Bloquant</t>
        </is>
      </c>
      <c r="E22" s="8" t="inlineStr"/>
      <c r="F22" s="8">
        <f>IF(E22="✅ Oui",1,IF(E22="🔄 En cours",0.5,IF(E22="➖ N/A","N/A",0)))</f>
        <v/>
      </c>
      <c r="G22" s="8" t="inlineStr"/>
      <c r="H22" s="8" t="inlineStr"/>
      <c r="I22" s="8" t="inlineStr"/>
      <c r="J22" s="8" t="inlineStr"/>
      <c r="K22" s="8" t="inlineStr"/>
      <c r="L22" s="8" t="inlineStr"/>
      <c r="M22" s="8" t="inlineStr">
        <is>
          <t>Art. 52</t>
        </is>
      </c>
    </row>
    <row r="23">
      <c r="A23" s="9" t="inlineStr">
        <is>
          <t>TRANS</t>
        </is>
      </c>
      <c r="B23" s="9" t="inlineStr">
        <is>
          <t>5.2</t>
        </is>
      </c>
      <c r="C23" s="9" t="inlineStr">
        <is>
          <t>Les mentions légales IA sont-elles en place ?</t>
        </is>
      </c>
      <c r="D23" s="9" t="inlineStr">
        <is>
          <t>🔴 Bloquant</t>
        </is>
      </c>
      <c r="E23" s="9" t="inlineStr"/>
      <c r="F23" s="9">
        <f>IF(E23="✅ Oui",1,IF(E23="🔄 En cours",0.5,IF(E23="➖ N/A","N/A",0)))</f>
        <v/>
      </c>
      <c r="G23" s="9" t="inlineStr"/>
      <c r="H23" s="9" t="inlineStr"/>
      <c r="I23" s="9" t="inlineStr"/>
      <c r="J23" s="9" t="inlineStr"/>
      <c r="K23" s="9" t="inlineStr"/>
      <c r="L23" s="9" t="inlineStr"/>
      <c r="M23" s="9" t="inlineStr">
        <is>
          <t>Art. 52</t>
        </is>
      </c>
    </row>
    <row r="24">
      <c r="A24" s="8" t="inlineStr">
        <is>
          <t>TRANS</t>
        </is>
      </c>
      <c r="B24" s="8" t="inlineStr">
        <is>
          <t>5.3</t>
        </is>
      </c>
      <c r="C24" s="8" t="inlineStr">
        <is>
          <t>Les contenus générés par IA sont-ils marqués ?</t>
        </is>
      </c>
      <c r="D24" s="8" t="inlineStr">
        <is>
          <t>🟠 Majeur</t>
        </is>
      </c>
      <c r="E24" s="8" t="inlineStr"/>
      <c r="F24" s="8">
        <f>IF(E24="✅ Oui",1,IF(E24="🔄 En cours",0.5,IF(E24="➖ N/A","N/A",0)))</f>
        <v/>
      </c>
      <c r="G24" s="8" t="inlineStr"/>
      <c r="H24" s="8" t="inlineStr"/>
      <c r="I24" s="8" t="inlineStr"/>
      <c r="J24" s="8" t="inlineStr"/>
      <c r="K24" s="8" t="inlineStr"/>
      <c r="L24" s="8" t="inlineStr"/>
      <c r="M24" s="8" t="inlineStr">
        <is>
          <t>Art. 52</t>
        </is>
      </c>
    </row>
    <row r="25">
      <c r="A25" s="9" t="inlineStr">
        <is>
          <t>TRANS</t>
        </is>
      </c>
      <c r="B25" s="9" t="inlineStr">
        <is>
          <t>5.4</t>
        </is>
      </c>
      <c r="C25" s="9" t="inlineStr">
        <is>
          <t>Les limitations des systèmes sont-elles communiquées ?</t>
        </is>
      </c>
      <c r="D25" s="9" t="inlineStr">
        <is>
          <t>🟠 Majeur</t>
        </is>
      </c>
      <c r="E25" s="9" t="inlineStr"/>
      <c r="F25" s="9">
        <f>IF(E25="✅ Oui",1,IF(E25="🔄 En cours",0.5,IF(E25="➖ N/A","N/A",0)))</f>
        <v/>
      </c>
      <c r="G25" s="9" t="inlineStr"/>
      <c r="H25" s="9" t="inlineStr"/>
      <c r="I25" s="9" t="inlineStr"/>
      <c r="J25" s="9" t="inlineStr"/>
      <c r="K25" s="9" t="inlineStr"/>
      <c r="L25" s="9" t="inlineStr"/>
      <c r="M25" s="9" t="inlineStr">
        <is>
          <t>Art. 13</t>
        </is>
      </c>
    </row>
    <row r="26">
      <c r="A26" s="8" t="inlineStr">
        <is>
          <t>SUP</t>
        </is>
      </c>
      <c r="B26" s="8" t="inlineStr">
        <is>
          <t>6.1</t>
        </is>
      </c>
      <c r="C26" s="8" t="inlineStr">
        <is>
          <t>Un processus de supervision humaine existe-t-il ?</t>
        </is>
      </c>
      <c r="D26" s="8" t="inlineStr">
        <is>
          <t>🔴 Bloquant</t>
        </is>
      </c>
      <c r="E26" s="8" t="inlineStr"/>
      <c r="F26" s="8">
        <f>IF(E26="✅ Oui",1,IF(E26="🔄 En cours",0.5,IF(E26="➖ N/A","N/A",0)))</f>
        <v/>
      </c>
      <c r="G26" s="8" t="inlineStr"/>
      <c r="H26" s="8" t="inlineStr"/>
      <c r="I26" s="8" t="inlineStr"/>
      <c r="J26" s="8" t="inlineStr"/>
      <c r="K26" s="8" t="inlineStr"/>
      <c r="L26" s="8" t="inlineStr"/>
      <c r="M26" s="8" t="inlineStr">
        <is>
          <t>Art. 14</t>
        </is>
      </c>
    </row>
    <row r="27">
      <c r="A27" s="9" t="inlineStr">
        <is>
          <t>SUP</t>
        </is>
      </c>
      <c r="B27" s="9" t="inlineStr">
        <is>
          <t>6.2</t>
        </is>
      </c>
      <c r="C27" s="9" t="inlineStr">
        <is>
          <t>Les superviseurs peuvent-ils intervenir/corriger les décisions IA ?</t>
        </is>
      </c>
      <c r="D27" s="9" t="inlineStr">
        <is>
          <t>🔴 Bloquant</t>
        </is>
      </c>
      <c r="E27" s="9" t="inlineStr"/>
      <c r="F27" s="9">
        <f>IF(E27="✅ Oui",1,IF(E27="🔄 En cours",0.5,IF(E27="➖ N/A","N/A",0)))</f>
        <v/>
      </c>
      <c r="G27" s="9" t="inlineStr"/>
      <c r="H27" s="9" t="inlineStr"/>
      <c r="I27" s="9" t="inlineStr"/>
      <c r="J27" s="9" t="inlineStr"/>
      <c r="K27" s="9" t="inlineStr"/>
      <c r="L27" s="9" t="inlineStr"/>
      <c r="M27" s="9" t="inlineStr">
        <is>
          <t>Art. 14</t>
        </is>
      </c>
    </row>
    <row r="28">
      <c r="A28" s="8" t="inlineStr">
        <is>
          <t>SUP</t>
        </is>
      </c>
      <c r="B28" s="8" t="inlineStr">
        <is>
          <t>6.3</t>
        </is>
      </c>
      <c r="C28" s="8" t="inlineStr">
        <is>
          <t>Une procédure d'escalade est-elle définie ?</t>
        </is>
      </c>
      <c r="D28" s="8" t="inlineStr">
        <is>
          <t>🟠 Majeur</t>
        </is>
      </c>
      <c r="E28" s="8" t="inlineStr"/>
      <c r="F28" s="8">
        <f>IF(E28="✅ Oui",1,IF(E28="🔄 En cours",0.5,IF(E28="➖ N/A","N/A",0)))</f>
        <v/>
      </c>
      <c r="G28" s="8" t="inlineStr"/>
      <c r="H28" s="8" t="inlineStr"/>
      <c r="I28" s="8" t="inlineStr"/>
      <c r="J28" s="8" t="inlineStr"/>
      <c r="K28" s="8" t="inlineStr"/>
      <c r="L28" s="8" t="inlineStr"/>
      <c r="M28" s="8" t="inlineStr">
        <is>
          <t>Art. 14</t>
        </is>
      </c>
    </row>
    <row r="29">
      <c r="A29" s="9" t="inlineStr">
        <is>
          <t>SUP</t>
        </is>
      </c>
      <c r="B29" s="9" t="inlineStr">
        <is>
          <t>6.4</t>
        </is>
      </c>
      <c r="C29" s="9" t="inlineStr">
        <is>
          <t>Les incidents IA sont-ils tracés et analysés ?</t>
        </is>
      </c>
      <c r="D29" s="9" t="inlineStr">
        <is>
          <t>🟠 Majeur</t>
        </is>
      </c>
      <c r="E29" s="9" t="inlineStr"/>
      <c r="F29" s="9">
        <f>IF(E29="✅ Oui",1,IF(E29="🔄 En cours",0.5,IF(E29="➖ N/A","N/A",0)))</f>
        <v/>
      </c>
      <c r="G29" s="9" t="inlineStr"/>
      <c r="H29" s="9" t="inlineStr"/>
      <c r="I29" s="9" t="inlineStr"/>
      <c r="J29" s="9" t="inlineStr"/>
      <c r="K29" s="9" t="inlineStr"/>
      <c r="L29" s="9" t="inlineStr"/>
      <c r="M29" s="9" t="inlineStr">
        <is>
          <t>Art. 62</t>
        </is>
      </c>
    </row>
    <row r="30">
      <c r="A30" s="8" t="inlineStr">
        <is>
          <t>SUP</t>
        </is>
      </c>
      <c r="B30" s="8" t="inlineStr">
        <is>
          <t>6.5</t>
        </is>
      </c>
      <c r="C30" s="8" t="inlineStr">
        <is>
          <t>Un mécanisme de feedback utilisateur existe-t-il ?</t>
        </is>
      </c>
      <c r="D30" s="8" t="inlineStr">
        <is>
          <t>🟡 Mineur</t>
        </is>
      </c>
      <c r="E30" s="8" t="inlineStr"/>
      <c r="F30" s="8">
        <f>IF(E30="✅ Oui",1,IF(E30="🔄 En cours",0.5,IF(E30="➖ N/A","N/A",0)))</f>
        <v/>
      </c>
      <c r="G30" s="8" t="inlineStr"/>
      <c r="H30" s="8" t="inlineStr"/>
      <c r="I30" s="8" t="inlineStr"/>
      <c r="J30" s="8" t="inlineStr"/>
      <c r="K30" s="8" t="inlineStr"/>
      <c r="L30" s="8" t="inlineStr"/>
      <c r="M30" s="8" t="inlineStr">
        <is>
          <t>Art. 14</t>
        </is>
      </c>
    </row>
  </sheetData>
  <mergeCells count="1">
    <mergeCell ref="A1:M1"/>
  </mergeCells>
  <dataValidations count="3">
    <dataValidation sqref="E4 E5 E6 E7 E8 E9 E10 E11 E12 E13 E14 E15 E16 E17 E18 E19 E20 E21 E22 E23 E24 E25 E26 E27 E28 E29 E30" showDropDown="0" showInputMessage="0" showErrorMessage="0" allowBlank="1" type="list">
      <formula1>"✅ Oui,❌ Non,🔄 En cours,➖ N/A"</formula1>
    </dataValidation>
    <dataValidation sqref="G4 G5 G6 G7 G8 G9 G10 G11 G12 G13 G14 G15 G16 G17 G18 G19 G20 G21 G22 G23 G24 G25 G26 G27 G28 G29 G30" showDropDown="0" showInputMessage="0" showErrorMessage="0" allowBlank="1" type="list">
      <formula1>"✅ Disponible,❌ Manquante,🔄 En cours"</formula1>
    </dataValidation>
    <dataValidation sqref="L4 L5 L6 L7 L8 L9 L10 L11 L12 L13 L14 L15 L16 L17 L18 L19 L20 L21 L22 L23 L24 L25 L26 L27 L28 L29 L30" showDropDown="0" showInputMessage="0" showErrorMessage="0" allowBlank="1" type="list">
      <formula1>"P1,P2,P3,P4"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2" customWidth="1" min="3" max="3"/>
    <col width="12" customWidth="1" min="4" max="4"/>
    <col width="35" customWidth="1" min="5" max="5"/>
    <col width="15" customWidth="1" min="6" max="6"/>
    <col width="12" customWidth="1" min="7" max="7"/>
    <col width="15" customWidth="1" min="8" max="8"/>
    <col width="12" customWidth="1" min="9" max="9"/>
    <col width="12" customWidth="1" min="10" max="10"/>
  </cols>
  <sheetData>
    <row r="1" ht="35" customHeight="1">
      <c r="A1" s="1" t="inlineStr">
        <is>
          <t>🎯 PLAN D'ACTION CORRECTIF</t>
        </is>
      </c>
    </row>
    <row r="3">
      <c r="A3" s="10" t="inlineStr">
        <is>
          <t>ID</t>
        </is>
      </c>
      <c r="B3" s="10" t="inlineStr">
        <is>
          <t>Non-conformité identifiée</t>
        </is>
      </c>
      <c r="C3" s="10" t="inlineStr">
        <is>
          <t>Catégorie</t>
        </is>
      </c>
      <c r="D3" s="10" t="inlineStr">
        <is>
          <t>Impact</t>
        </is>
      </c>
      <c r="E3" s="10" t="inlineStr">
        <is>
          <t>Action corrective</t>
        </is>
      </c>
      <c r="F3" s="10" t="inlineStr">
        <is>
          <t>Responsable</t>
        </is>
      </c>
      <c r="G3" s="10" t="inlineStr">
        <is>
          <t>Échéance</t>
        </is>
      </c>
      <c r="H3" s="10" t="inlineStr">
        <is>
          <t>Ressources</t>
        </is>
      </c>
      <c r="I3" s="10" t="inlineStr">
        <is>
          <t>Statut</t>
        </is>
      </c>
      <c r="J3" s="10" t="inlineStr">
        <is>
          <t>% Avancement</t>
        </is>
      </c>
    </row>
    <row r="4">
      <c r="A4" s="8" t="inlineStr">
        <is>
          <t>NC-001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11" t="n"/>
    </row>
    <row r="5">
      <c r="A5" s="9" t="inlineStr">
        <is>
          <t>NC-002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12" t="n"/>
    </row>
    <row r="6">
      <c r="A6" s="8" t="inlineStr">
        <is>
          <t>NC-003</t>
        </is>
      </c>
      <c r="B6" s="8" t="n"/>
      <c r="C6" s="8" t="n"/>
      <c r="D6" s="8" t="n"/>
      <c r="E6" s="8" t="n"/>
      <c r="F6" s="8" t="n"/>
      <c r="G6" s="8" t="n"/>
      <c r="H6" s="8" t="n"/>
      <c r="I6" s="8" t="n"/>
      <c r="J6" s="11" t="n"/>
    </row>
    <row r="7">
      <c r="A7" s="9" t="inlineStr">
        <is>
          <t>NC-004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12" t="n"/>
    </row>
    <row r="8">
      <c r="A8" s="8" t="inlineStr">
        <is>
          <t>NC-005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11" t="n"/>
    </row>
    <row r="9">
      <c r="A9" s="9" t="inlineStr">
        <is>
          <t>NC-006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12" t="n"/>
    </row>
    <row r="10">
      <c r="A10" s="8" t="inlineStr">
        <is>
          <t>NC-007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11" t="n"/>
    </row>
    <row r="11">
      <c r="A11" s="9" t="inlineStr">
        <is>
          <t>NC-008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12" t="n"/>
    </row>
    <row r="12">
      <c r="A12" s="8" t="inlineStr">
        <is>
          <t>NC-009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11" t="n"/>
    </row>
    <row r="13">
      <c r="A13" s="9" t="inlineStr">
        <is>
          <t>NC-010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12" t="n"/>
    </row>
    <row r="14">
      <c r="A14" s="8" t="inlineStr">
        <is>
          <t>NC-011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11" t="n"/>
    </row>
    <row r="15">
      <c r="A15" s="9" t="inlineStr">
        <is>
          <t>NC-012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12" t="n"/>
    </row>
    <row r="16">
      <c r="A16" s="8" t="inlineStr">
        <is>
          <t>NC-013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11" t="n"/>
    </row>
    <row r="17">
      <c r="A17" s="9" t="inlineStr">
        <is>
          <t>NC-014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12" t="n"/>
    </row>
    <row r="18">
      <c r="A18" s="8" t="inlineStr">
        <is>
          <t>NC-015</t>
        </is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11" t="n"/>
    </row>
    <row r="19">
      <c r="A19" s="9" t="inlineStr">
        <is>
          <t>NC-016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12" t="n"/>
    </row>
    <row r="20">
      <c r="A20" s="8" t="inlineStr">
        <is>
          <t>NC-017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11" t="n"/>
    </row>
    <row r="21">
      <c r="A21" s="9" t="inlineStr">
        <is>
          <t>NC-018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12" t="n"/>
    </row>
    <row r="22">
      <c r="A22" s="8" t="inlineStr">
        <is>
          <t>NC-019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11" t="n"/>
    </row>
    <row r="23">
      <c r="A23" s="9" t="inlineStr">
        <is>
          <t>NC-020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12" t="n"/>
    </row>
  </sheetData>
  <mergeCells count="1">
    <mergeCell ref="A1:J1"/>
  </mergeCells>
  <dataValidations count="2">
    <dataValidation sqref="D4 D5 D6 D7 D8 D9 D10 D11 D12 D13 D14 D15 D16 D17 D18 D19 D20 D21 D22 D23" showDropDown="0" showInputMessage="0" showErrorMessage="0" allowBlank="1" type="list">
      <formula1>"🔴 Critique,🟠 Élevé,🟡 Modéré,🟢 Faible"</formula1>
    </dataValidation>
    <dataValidation sqref="I4 I5 I6 I7 I8 I9 I10 I11 I12 I13 I14 I15 I16 I17 I18 I19 I20 I21 I22 I23" showDropDown="0" showInputMessage="0" showErrorMessage="0" allowBlank="1" type="list">
      <formula1>"📋 Planifié,🔄 En cours,⏸️ Bloqué,✅ Terminé,❌ Annulé"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0" customWidth="1" min="1" max="1"/>
    <col width="80" customWidth="1" min="2" max="2"/>
  </cols>
  <sheetData>
    <row r="1" ht="35" customHeight="1">
      <c r="A1" s="1" t="inlineStr">
        <is>
          <t>📖 GUIDE D'UTILISATION</t>
        </is>
      </c>
    </row>
    <row r="3">
      <c r="A3" s="13" t="inlineStr">
        <is>
          <t>🎯 Objectif</t>
        </is>
      </c>
      <c r="B3" t="inlineStr">
        <is>
          <t>Cette checklist vous aide à évaluer votre niveau de préparation à l'AI Act et à identifier les actions prioritaires.</t>
        </is>
      </c>
    </row>
    <row r="5">
      <c r="A5" s="13" t="inlineStr">
        <is>
          <t>📋 Comment utiliser cet outil</t>
        </is>
      </c>
    </row>
    <row r="6">
      <c r="A6" s="2" t="inlineStr">
        <is>
          <t>1. Tableau de Bord</t>
        </is>
      </c>
      <c r="B6" t="inlineStr">
        <is>
          <t>Consultez la vue d'ensemble de votre conformité et les KPIs clés. Les scores se calculent automatiquement.</t>
        </is>
      </c>
    </row>
    <row r="7">
      <c r="A7" s="2" t="inlineStr">
        <is>
          <t>2. Évaluation</t>
        </is>
      </c>
      <c r="B7" t="inlineStr">
        <is>
          <t>Répondez à chaque question en sélectionnant une option dans la liste déroulante. Documentez les preuves et responsables.</t>
        </is>
      </c>
    </row>
    <row r="8">
      <c r="A8" s="2" t="inlineStr">
        <is>
          <t>3. Plan d'Action</t>
        </is>
      </c>
      <c r="B8" t="inlineStr">
        <is>
          <t>Listez les non-conformités identifiées et définissez les actions correctives avec leurs échéances.</t>
        </is>
      </c>
    </row>
    <row r="10">
      <c r="A10" s="13" t="inlineStr">
        <is>
          <t>🔢 Système de notation</t>
        </is>
      </c>
    </row>
    <row r="11">
      <c r="A11" s="2" t="inlineStr">
        <is>
          <t>✅ Oui</t>
        </is>
      </c>
      <c r="B11">
        <f> 100% - L'exigence est pleinement satisfaite</f>
        <v/>
      </c>
    </row>
    <row r="12">
      <c r="A12" s="2" t="inlineStr">
        <is>
          <t>🔄 En cours</t>
        </is>
      </c>
      <c r="B12">
        <f> 50% - L'exigence est partiellement satisfaite ou en cours d'implémentation</f>
        <v/>
      </c>
    </row>
    <row r="13">
      <c r="A13" s="2" t="inlineStr">
        <is>
          <t>❌ Non</t>
        </is>
      </c>
      <c r="B13">
        <f> 0% - L'exigence n'est pas satisfaite</f>
        <v/>
      </c>
    </row>
    <row r="14">
      <c r="A14" s="2" t="inlineStr">
        <is>
          <t>➖ N/A</t>
        </is>
      </c>
      <c r="B14">
        <f> Non applicable - L'exigence ne s'applique pas à votre contexte</f>
        <v/>
      </c>
    </row>
    <row r="16">
      <c r="A16" s="13" t="inlineStr">
        <is>
          <t>🚦 Niveaux de criticité</t>
        </is>
      </c>
    </row>
    <row r="17">
      <c r="A17" s="2" t="inlineStr">
        <is>
          <t>🔴 Bloquant</t>
        </is>
      </c>
      <c r="B17" t="inlineStr">
        <is>
          <t>Non-conformité majeure pouvant entraîner des sanctions. Action immédiate requise.</t>
        </is>
      </c>
    </row>
    <row r="18">
      <c r="A18" s="2" t="inlineStr">
        <is>
          <t>🟠 Majeur</t>
        </is>
      </c>
      <c r="B18" t="inlineStr">
        <is>
          <t>Non-conformité significative nécessitant une correction dans les 30 jours.</t>
        </is>
      </c>
    </row>
    <row r="19">
      <c r="A19" s="2" t="inlineStr">
        <is>
          <t>🟡 Mineur</t>
        </is>
      </c>
      <c r="B19" t="inlineStr">
        <is>
          <t>Point d'amélioration à traiter dans les 90 jours.</t>
        </is>
      </c>
    </row>
    <row r="21">
      <c r="A21" s="13" t="inlineStr">
        <is>
          <t>📞 Support</t>
        </is>
      </c>
      <c r="B21" t="inlineStr">
        <is>
          <t>Pour toute question, contactez votre responsable conformité ou l'équipe formation.</t>
        </is>
      </c>
    </row>
  </sheetData>
  <mergeCells count="13">
    <mergeCell ref="B21:F21"/>
    <mergeCell ref="B12:F12"/>
    <mergeCell ref="B7:F7"/>
    <mergeCell ref="B6:F6"/>
    <mergeCell ref="A1:F1"/>
    <mergeCell ref="B11:F11"/>
    <mergeCell ref="B3:F3"/>
    <mergeCell ref="B19:F19"/>
    <mergeCell ref="B14:F14"/>
    <mergeCell ref="B8:F8"/>
    <mergeCell ref="B17:F17"/>
    <mergeCell ref="B18:F18"/>
    <mergeCell ref="B13:F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2025-12-27T12:21:15Z</dcterms:created>
  <dcterms:modified xmlns:dcterms="http://purl.org/dc/terms/" xmlns:xsi="http://www.w3.org/2001/XMLSchema-instance" xsi:type="dcterms:W3CDTF">2025-12-27T12:21:15Z</dcterms:modified>
</cp:coreProperties>
</file>