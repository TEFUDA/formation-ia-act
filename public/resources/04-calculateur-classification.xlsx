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eur" sheetId="1" state="visible" r:id="rId1"/>
    <sheet xmlns:r="http://schemas.openxmlformats.org/officeDocument/2006/relationships" name="Referentiel Annexe III" sheetId="2" state="visible" r:id="rId2"/>
    <sheet xmlns:r="http://schemas.openxmlformats.org/officeDocument/2006/relationships" name="Historique Classific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F4E79"/>
      <sz val="12"/>
    </font>
    <font>
      <b val="1"/>
      <color rgb="00404040"/>
      <sz val="10"/>
    </font>
    <font>
      <b val="1"/>
      <color rgb="00FFFFFF"/>
      <sz val="12"/>
    </font>
    <font>
      <b val="1"/>
      <color rgb="008B0000"/>
    </font>
    <font>
      <b val="1"/>
      <color rgb="001F4E79"/>
      <sz val="18"/>
    </font>
    <font>
      <b val="1"/>
      <color rgb="00FFFFFF"/>
      <sz val="14"/>
    </font>
    <font>
      <b val="1"/>
      <sz val="16"/>
    </font>
    <font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BDD7EE"/>
        <bgColor rgb="00BDD7EE"/>
      </patternFill>
    </fill>
    <fill>
      <patternFill patternType="solid">
        <fgColor rgb="008B0000"/>
        <bgColor rgb="008B0000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F2F2F2"/>
        <bgColor rgb="00F2F2F2"/>
      </patternFill>
    </fill>
  </fills>
  <borders count="7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2" fillId="3" borderId="0" pivotButton="0" quotePrefix="0" xfId="0"/>
    <xf numFmtId="0" fontId="3" fillId="0" borderId="0" pivotButton="0" quotePrefix="0" xfId="0"/>
    <xf numFmtId="0" fontId="4" fillId="4" borderId="0" pivotButton="0" quotePrefix="0" xfId="0"/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7" fillId="2" borderId="0" pivotButton="0" quotePrefix="0" xfId="0"/>
    <xf numFmtId="0" fontId="8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0" applyAlignment="1" pivotButton="0" quotePrefix="0" xfId="0">
      <alignment vertical="top" wrapText="1"/>
    </xf>
    <xf numFmtId="0" fontId="9" fillId="2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5" customHeight="1">
      <c r="A1" s="1" t="inlineStr">
        <is>
          <t>🧮 CALCULATEUR DE CLASSIFICATION AI ACT</t>
        </is>
      </c>
    </row>
    <row r="3">
      <c r="A3" s="2" t="inlineStr">
        <is>
          <t>📋 Répondez aux questions ci-dessous pour déterminer automatiquement la classification de votre système IA selon l'AI Act</t>
        </is>
      </c>
    </row>
    <row r="5">
      <c r="A5" s="3" t="inlineStr">
        <is>
          <t>📝 INFORMATIONS SUR LE SYSTÈME</t>
        </is>
      </c>
    </row>
    <row r="7">
      <c r="A7" s="4" t="inlineStr">
        <is>
          <t>Nom du système :</t>
        </is>
      </c>
      <c r="D7" s="4" t="inlineStr">
        <is>
          <t>Département :</t>
        </is>
      </c>
    </row>
    <row r="8">
      <c r="A8" s="4" t="inlineStr">
        <is>
          <t>Fournisseur :</t>
        </is>
      </c>
      <c r="D8" s="4" t="inlineStr">
        <is>
          <t>Date évaluation :</t>
        </is>
      </c>
    </row>
    <row r="9">
      <c r="A9" s="4" t="inlineStr">
        <is>
          <t>Évaluateur :</t>
        </is>
      </c>
    </row>
    <row r="11">
      <c r="A11" s="5" t="inlineStr">
        <is>
          <t>🚫 SECTION 1 : PRATIQUES INTERDITES (Article 5)</t>
        </is>
      </c>
    </row>
    <row r="13">
      <c r="A13" s="6" t="inlineStr">
        <is>
          <t>Q1.1</t>
        </is>
      </c>
      <c r="B13" s="6" t="inlineStr">
        <is>
          <t>Le système utilise-t-il des techniques subliminales pour manipuler le comportement ?</t>
        </is>
      </c>
      <c r="C13" s="7" t="n"/>
      <c r="D13" s="7" t="n"/>
      <c r="E13" s="7" t="n"/>
      <c r="F13" s="8" t="n"/>
      <c r="G13" s="6" t="n"/>
      <c r="H13" s="6" t="inlineStr">
        <is>
          <t>Art. 5(1)(a)</t>
        </is>
      </c>
    </row>
    <row r="14">
      <c r="A14" s="6" t="inlineStr">
        <is>
          <t>Q1.2</t>
        </is>
      </c>
      <c r="B14" s="6" t="inlineStr">
        <is>
          <t>Le système exploite-t-il des vulnérabilités liées à l'âge, au handicap ou à la situation sociale ?</t>
        </is>
      </c>
      <c r="C14" s="7" t="n"/>
      <c r="D14" s="7" t="n"/>
      <c r="E14" s="7" t="n"/>
      <c r="F14" s="8" t="n"/>
      <c r="G14" s="6" t="n"/>
      <c r="H14" s="6" t="inlineStr">
        <is>
          <t>Art. 5(1)(b)</t>
        </is>
      </c>
    </row>
    <row r="15">
      <c r="A15" s="6" t="inlineStr">
        <is>
          <t>Q1.3</t>
        </is>
      </c>
      <c r="B15" s="6" t="inlineStr">
        <is>
          <t>Le système est-il utilisé pour le scoring social par les autorités publiques ?</t>
        </is>
      </c>
      <c r="C15" s="7" t="n"/>
      <c r="D15" s="7" t="n"/>
      <c r="E15" s="7" t="n"/>
      <c r="F15" s="8" t="n"/>
      <c r="G15" s="6" t="n"/>
      <c r="H15" s="6" t="inlineStr">
        <is>
          <t>Art. 5(1)(c)</t>
        </is>
      </c>
    </row>
    <row r="16">
      <c r="A16" s="6" t="inlineStr">
        <is>
          <t>Q1.4</t>
        </is>
      </c>
      <c r="B16" s="6" t="inlineStr">
        <is>
          <t>Le système effectue-t-il de l'identification biométrique à distance en temps réel dans l'espace public ?</t>
        </is>
      </c>
      <c r="C16" s="7" t="n"/>
      <c r="D16" s="7" t="n"/>
      <c r="E16" s="7" t="n"/>
      <c r="F16" s="8" t="n"/>
      <c r="G16" s="6" t="n"/>
      <c r="H16" s="6" t="inlineStr">
        <is>
          <t>Art. 5(1)(d)</t>
        </is>
      </c>
    </row>
    <row r="17">
      <c r="A17" s="6" t="inlineStr">
        <is>
          <t>Q1.5</t>
        </is>
      </c>
      <c r="B17" s="6" t="inlineStr">
        <is>
          <t>Le système effectue-t-il de la catégorisation biométrique basée sur des données sensibles ?</t>
        </is>
      </c>
      <c r="C17" s="7" t="n"/>
      <c r="D17" s="7" t="n"/>
      <c r="E17" s="7" t="n"/>
      <c r="F17" s="8" t="n"/>
      <c r="G17" s="6" t="n"/>
      <c r="H17" s="6" t="inlineStr">
        <is>
          <t>Art. 5(1)(g)</t>
        </is>
      </c>
    </row>
    <row r="18">
      <c r="A18" s="6" t="inlineStr">
        <is>
          <t>Q1.6</t>
        </is>
      </c>
      <c r="B18" s="6" t="inlineStr">
        <is>
          <t>Le système tente-t-il d'inférer les émotions sur le lieu de travail ou dans l'éducation ?</t>
        </is>
      </c>
      <c r="C18" s="7" t="n"/>
      <c r="D18" s="7" t="n"/>
      <c r="E18" s="7" t="n"/>
      <c r="F18" s="8" t="n"/>
      <c r="G18" s="6" t="n"/>
      <c r="H18" s="6" t="inlineStr">
        <is>
          <t>Art. 5(1)(f)</t>
        </is>
      </c>
    </row>
    <row r="20">
      <c r="A20" s="9" t="inlineStr">
        <is>
          <t>⚠️ Si une réponse est 'Oui', le système est INTERDIT</t>
        </is>
      </c>
      <c r="G20" s="10">
        <f>IF(COUNTIF(G13:G18,"Oui")&gt;0,"⛔ INTERDIT","✅ OK")</f>
        <v/>
      </c>
    </row>
    <row r="22">
      <c r="A22" s="11" t="inlineStr">
        <is>
          <t>🔴 SECTION 2 : SYSTÈMES À HAUT RISQUE (Annexe III)</t>
        </is>
      </c>
    </row>
    <row r="24">
      <c r="A24" s="6" t="inlineStr">
        <is>
          <t>Q2.1</t>
        </is>
      </c>
      <c r="B24" s="6" t="inlineStr">
        <is>
          <t>Le système est-il utilisé dans le recrutement (tri CV, évaluation candidats) ?</t>
        </is>
      </c>
      <c r="C24" s="7" t="n"/>
      <c r="D24" s="7" t="n"/>
      <c r="E24" s="7" t="n"/>
      <c r="F24" s="8" t="n"/>
      <c r="G24" s="6" t="n"/>
      <c r="H24" s="6" t="inlineStr">
        <is>
          <t>Annexe III.4(a)</t>
        </is>
      </c>
    </row>
    <row r="25">
      <c r="A25" s="6" t="inlineStr">
        <is>
          <t>Q2.2</t>
        </is>
      </c>
      <c r="B25" s="6" t="inlineStr">
        <is>
          <t>Le système prend-il des décisions affectant les conditions de travail (promotion, licenciement) ?</t>
        </is>
      </c>
      <c r="C25" s="7" t="n"/>
      <c r="D25" s="7" t="n"/>
      <c r="E25" s="7" t="n"/>
      <c r="F25" s="8" t="n"/>
      <c r="G25" s="6" t="n"/>
      <c r="H25" s="6" t="inlineStr">
        <is>
          <t>Annexe III.4(b)</t>
        </is>
      </c>
    </row>
    <row r="26">
      <c r="A26" s="6" t="inlineStr">
        <is>
          <t>Q2.3</t>
        </is>
      </c>
      <c r="B26" s="6" t="inlineStr">
        <is>
          <t>Le système évalue-t-il la solvabilité ou le score de crédit des personnes ?</t>
        </is>
      </c>
      <c r="C26" s="7" t="n"/>
      <c r="D26" s="7" t="n"/>
      <c r="E26" s="7" t="n"/>
      <c r="F26" s="8" t="n"/>
      <c r="G26" s="6" t="n"/>
      <c r="H26" s="6" t="inlineStr">
        <is>
          <t>Annexe III.5(b)</t>
        </is>
      </c>
    </row>
    <row r="27">
      <c r="A27" s="6" t="inlineStr">
        <is>
          <t>Q2.4</t>
        </is>
      </c>
      <c r="B27" s="6" t="inlineStr">
        <is>
          <t>Le système est-il utilisé pour l'accès aux services essentiels (assurance, prêts) ?</t>
        </is>
      </c>
      <c r="C27" s="7" t="n"/>
      <c r="D27" s="7" t="n"/>
      <c r="E27" s="7" t="n"/>
      <c r="F27" s="8" t="n"/>
      <c r="G27" s="6" t="n"/>
      <c r="H27" s="6" t="inlineStr">
        <is>
          <t>Annexe III.5(a)</t>
        </is>
      </c>
    </row>
    <row r="28">
      <c r="A28" s="6" t="inlineStr">
        <is>
          <t>Q2.5</t>
        </is>
      </c>
      <c r="B28" s="6" t="inlineStr">
        <is>
          <t>Le système est-il utilisé dans l'éducation (orientation, évaluation, surveillance examens) ?</t>
        </is>
      </c>
      <c r="C28" s="7" t="n"/>
      <c r="D28" s="7" t="n"/>
      <c r="E28" s="7" t="n"/>
      <c r="F28" s="8" t="n"/>
      <c r="G28" s="6" t="n"/>
      <c r="H28" s="6" t="inlineStr">
        <is>
          <t>Annexe III.3</t>
        </is>
      </c>
    </row>
    <row r="29">
      <c r="A29" s="6" t="inlineStr">
        <is>
          <t>Q2.6</t>
        </is>
      </c>
      <c r="B29" s="6" t="inlineStr">
        <is>
          <t>Le système gère-t-il des infrastructures critiques (énergie, eau, transport) ?</t>
        </is>
      </c>
      <c r="C29" s="7" t="n"/>
      <c r="D29" s="7" t="n"/>
      <c r="E29" s="7" t="n"/>
      <c r="F29" s="8" t="n"/>
      <c r="G29" s="6" t="n"/>
      <c r="H29" s="6" t="inlineStr">
        <is>
          <t>Annexe III.2</t>
        </is>
      </c>
    </row>
    <row r="30">
      <c r="A30" s="6" t="inlineStr">
        <is>
          <t>Q2.7</t>
        </is>
      </c>
      <c r="B30" s="6" t="inlineStr">
        <is>
          <t>Le système effectue-t-il de l'identification biométrique à distance (hors temps réel) ?</t>
        </is>
      </c>
      <c r="C30" s="7" t="n"/>
      <c r="D30" s="7" t="n"/>
      <c r="E30" s="7" t="n"/>
      <c r="F30" s="8" t="n"/>
      <c r="G30" s="6" t="n"/>
      <c r="H30" s="6" t="inlineStr">
        <is>
          <t>Annexe III.1</t>
        </is>
      </c>
    </row>
    <row r="31">
      <c r="A31" s="6" t="inlineStr">
        <is>
          <t>Q2.8</t>
        </is>
      </c>
      <c r="B31" s="6" t="inlineStr">
        <is>
          <t>Le système est-il utilisé par les forces de l'ordre (profilage, évaluation risque) ?</t>
        </is>
      </c>
      <c r="C31" s="7" t="n"/>
      <c r="D31" s="7" t="n"/>
      <c r="E31" s="7" t="n"/>
      <c r="F31" s="8" t="n"/>
      <c r="G31" s="6" t="n"/>
      <c r="H31" s="6" t="inlineStr">
        <is>
          <t>Annexe III.6</t>
        </is>
      </c>
    </row>
    <row r="32">
      <c r="A32" s="6" t="inlineStr">
        <is>
          <t>Q2.9</t>
        </is>
      </c>
      <c r="B32" s="6" t="inlineStr">
        <is>
          <t>Le système est-il utilisé dans le contexte de l'immigration/asile ?</t>
        </is>
      </c>
      <c r="C32" s="7" t="n"/>
      <c r="D32" s="7" t="n"/>
      <c r="E32" s="7" t="n"/>
      <c r="F32" s="8" t="n"/>
      <c r="G32" s="6" t="n"/>
      <c r="H32" s="6" t="inlineStr">
        <is>
          <t>Annexe III.7</t>
        </is>
      </c>
    </row>
    <row r="33">
      <c r="A33" s="6" t="inlineStr">
        <is>
          <t>Q2.10</t>
        </is>
      </c>
      <c r="B33" s="6" t="inlineStr">
        <is>
          <t>Le système assiste-t-il des décisions judiciaires ?</t>
        </is>
      </c>
      <c r="C33" s="7" t="n"/>
      <c r="D33" s="7" t="n"/>
      <c r="E33" s="7" t="n"/>
      <c r="F33" s="8" t="n"/>
      <c r="G33" s="6" t="n"/>
      <c r="H33" s="6" t="inlineStr">
        <is>
          <t>Annexe III.8</t>
        </is>
      </c>
    </row>
    <row r="35">
      <c r="A35" s="4" t="inlineStr">
        <is>
          <t>Si une réponse est 'Oui', le système est à HAUT RISQUE</t>
        </is>
      </c>
      <c r="G35" s="10">
        <f>IF(COUNTIF(G24:G33,"Oui")&gt;0,"🔴 HAUT RISQUE","✅ OK")</f>
        <v/>
      </c>
    </row>
    <row r="37">
      <c r="A37" s="12" t="inlineStr">
        <is>
          <t>🟠 SECTION 3 : SYSTÈMES À RISQUE LIMITÉ (Article 52)</t>
        </is>
      </c>
    </row>
    <row r="39">
      <c r="A39" s="6" t="inlineStr">
        <is>
          <t>Q3.1</t>
        </is>
      </c>
      <c r="B39" s="6" t="inlineStr">
        <is>
          <t>Le système interagit-il directement avec des personnes (chatbot, assistant vocal) ?</t>
        </is>
      </c>
      <c r="C39" s="7" t="n"/>
      <c r="D39" s="7" t="n"/>
      <c r="E39" s="7" t="n"/>
      <c r="F39" s="8" t="n"/>
      <c r="G39" s="6" t="n"/>
      <c r="H39" s="6" t="inlineStr">
        <is>
          <t>Art. 52(1)</t>
        </is>
      </c>
    </row>
    <row r="40">
      <c r="A40" s="6" t="inlineStr">
        <is>
          <t>Q3.2</t>
        </is>
      </c>
      <c r="B40" s="6" t="inlineStr">
        <is>
          <t>Le système génère-t-il du contenu (texte, image, audio, vidéo) de type deepfake ?</t>
        </is>
      </c>
      <c r="C40" s="7" t="n"/>
      <c r="D40" s="7" t="n"/>
      <c r="E40" s="7" t="n"/>
      <c r="F40" s="8" t="n"/>
      <c r="G40" s="6" t="n"/>
      <c r="H40" s="6" t="inlineStr">
        <is>
          <t>Art. 52(3)</t>
        </is>
      </c>
    </row>
    <row r="41">
      <c r="A41" s="6" t="inlineStr">
        <is>
          <t>Q3.3</t>
        </is>
      </c>
      <c r="B41" s="6" t="inlineStr">
        <is>
          <t>Le système détecte-t-il des émotions ou catégorise-t-il biométriquement (hors cas interdits) ?</t>
        </is>
      </c>
      <c r="C41" s="7" t="n"/>
      <c r="D41" s="7" t="n"/>
      <c r="E41" s="7" t="n"/>
      <c r="F41" s="8" t="n"/>
      <c r="G41" s="6" t="n"/>
      <c r="H41" s="6" t="inlineStr">
        <is>
          <t>Art. 52(2)</t>
        </is>
      </c>
    </row>
    <row r="42">
      <c r="A42" s="6" t="inlineStr">
        <is>
          <t>Q3.4</t>
        </is>
      </c>
      <c r="B42" s="6" t="inlineStr">
        <is>
          <t>Le système génère-t-il du contenu qui pourrait être perçu comme créé par un humain ?</t>
        </is>
      </c>
      <c r="C42" s="7" t="n"/>
      <c r="D42" s="7" t="n"/>
      <c r="E42" s="7" t="n"/>
      <c r="F42" s="8" t="n"/>
      <c r="G42" s="6" t="n"/>
      <c r="H42" s="6" t="inlineStr">
        <is>
          <t>Art. 52(3)</t>
        </is>
      </c>
    </row>
    <row r="44">
      <c r="G44" s="10">
        <f>IF(COUNTIF(G39:G42,"Oui")&gt;0,"🟠 RISQUE LIMITÉ","✅ OK")</f>
        <v/>
      </c>
    </row>
    <row r="47">
      <c r="A47" s="13" t="inlineStr">
        <is>
          <t>📊 RÉSULTAT FINAL DE LA CLASSIFICATION</t>
        </is>
      </c>
    </row>
    <row r="49">
      <c r="B49" s="14">
        <f>IF(COUNTIF(G13:G18,"Oui")&gt;0,"⛔ INTERDIT - Système non autorisé par l'AI Act",IF(COUNTIF(G24:G33,"Oui")&gt;0,"🔴 HAUT RISQUE - Conformité complète requise (Art. 6-51)",IF(COUNTIF(G39:G42,"Oui")&gt;0,"🟠 RISQUE LIMITÉ - Obligations de transparence (Art. 52)","🟢 RISQUE MINIMAL - Pas d'obligations spécifiques")))</f>
        <v/>
      </c>
      <c r="C49" s="15" t="n"/>
      <c r="D49" s="15" t="n"/>
      <c r="E49" s="15" t="n"/>
      <c r="F49" s="15" t="n"/>
      <c r="G49" s="15" t="n"/>
    </row>
    <row r="52">
      <c r="A52" s="3" t="inlineStr">
        <is>
          <t>📋 OBLIGATIONS APPLICABLES</t>
        </is>
      </c>
    </row>
    <row r="54">
      <c r="A54" s="16">
        <f>IF(COUNTIF(G13:G18,"Oui")&gt;0,"❌ SYSTÈME INTERDIT : Mise hors service immédiate requise",IF(COUNTIF(G24:G33,"Oui")&gt;0,"• Système de gestion des risques (Art. 9)
• Gouvernance des données (Art. 10)
• Documentation technique (Art. 11)
• Journalisation automatique (Art. 12)
• Transparence (Art. 13)
• Supervision humaine (Art. 14)
• Exactitude et robustesse (Art. 15)
• Déclaration de conformité (Art. 47)",IF(COUNTIF(G{start_lr}:G{end_lr},"Oui")&gt;0,"• Information des utilisateurs sur l'interaction avec une IA
• Marquage du contenu généré par IA
• Information si détection d'émotions","✓ Bonnes pratiques recommandées
✓ Codes de conduite volontaires")))</f>
        <v/>
      </c>
    </row>
    <row r="55"/>
    <row r="56"/>
    <row r="57"/>
    <row r="58"/>
    <row r="59"/>
  </sheetData>
  <mergeCells count="32">
    <mergeCell ref="B16:F16"/>
    <mergeCell ref="A54:H59"/>
    <mergeCell ref="B25:F25"/>
    <mergeCell ref="B31:F31"/>
    <mergeCell ref="A11:H11"/>
    <mergeCell ref="A1:H1"/>
    <mergeCell ref="B27:F27"/>
    <mergeCell ref="B18:F18"/>
    <mergeCell ref="B39:F39"/>
    <mergeCell ref="B42:F42"/>
    <mergeCell ref="B49:G49"/>
    <mergeCell ref="A35:F35"/>
    <mergeCell ref="B14:F14"/>
    <mergeCell ref="A20:F20"/>
    <mergeCell ref="A37:H37"/>
    <mergeCell ref="B17:F17"/>
    <mergeCell ref="B13:F13"/>
    <mergeCell ref="A3:H3"/>
    <mergeCell ref="B29:F29"/>
    <mergeCell ref="B28:F28"/>
    <mergeCell ref="A47:H47"/>
    <mergeCell ref="A5:H5"/>
    <mergeCell ref="B40:F40"/>
    <mergeCell ref="A22:H22"/>
    <mergeCell ref="B30:F30"/>
    <mergeCell ref="B24:F24"/>
    <mergeCell ref="B15:F15"/>
    <mergeCell ref="B33:F33"/>
    <mergeCell ref="A52:H52"/>
    <mergeCell ref="B32:F32"/>
    <mergeCell ref="B26:F26"/>
    <mergeCell ref="B41:F41"/>
  </mergeCells>
  <dataValidations count="1">
    <dataValidation sqref="G13 G14 G15 G16 G17 G18 G24 G25 G26 G27 G28 G29 G30 G31 G32 G33 G39 G40 G41 G42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40" customWidth="1" min="3" max="3"/>
    <col width="50" customWidth="1" min="4" max="4"/>
    <col width="15" customWidth="1" min="5" max="5"/>
  </cols>
  <sheetData>
    <row r="1" ht="35" customHeight="1">
      <c r="A1" s="1" t="inlineStr">
        <is>
          <t>📚 RÉFÉRENTIEL - ANNEXE III AI ACT (SYSTÈMES À HAUT RISQUE)</t>
        </is>
      </c>
    </row>
    <row r="3">
      <c r="A3" s="17" t="inlineStr">
        <is>
          <t>N°</t>
        </is>
      </c>
      <c r="B3" s="17" t="inlineStr">
        <is>
          <t>Domaine</t>
        </is>
      </c>
      <c r="C3" s="17" t="inlineStr">
        <is>
          <t>Description</t>
        </is>
      </c>
      <c r="D3" s="17" t="inlineStr">
        <is>
          <t>Exemples concrets</t>
        </is>
      </c>
      <c r="E3" s="17" t="inlineStr">
        <is>
          <t>Articles associés</t>
        </is>
      </c>
    </row>
    <row r="4">
      <c r="A4" s="18" t="inlineStr">
        <is>
          <t>1</t>
        </is>
      </c>
      <c r="B4" s="18" t="inlineStr">
        <is>
          <t>Biométrie</t>
        </is>
      </c>
      <c r="C4" s="18" t="inlineStr">
        <is>
          <t>Identification et catégorisation biométrique des personnes physiques</t>
        </is>
      </c>
      <c r="D4" s="18" t="inlineStr">
        <is>
          <t>Reconnaissance faciale, reconnaissance d'empreintes, analyse de la démarche, identification vocale</t>
        </is>
      </c>
      <c r="E4" s="18" t="inlineStr">
        <is>
          <t>Art. 6, 26</t>
        </is>
      </c>
    </row>
    <row r="5">
      <c r="A5" s="19" t="inlineStr">
        <is>
          <t>2</t>
        </is>
      </c>
      <c r="B5" s="19" t="inlineStr">
        <is>
          <t>Infrastructure critique</t>
        </is>
      </c>
      <c r="C5" s="19" t="inlineStr">
        <is>
          <t>Composants de sécurité dans la gestion du trafic routier, eau, gaz, électricité, chauffage</t>
        </is>
      </c>
      <c r="D5" s="19" t="inlineStr">
        <is>
          <t>Gestion smart grid, optimisation trafic urbain, surveillance réseaux eau/gaz</t>
        </is>
      </c>
      <c r="E5" s="19" t="inlineStr">
        <is>
          <t>Art. 6, 26</t>
        </is>
      </c>
    </row>
    <row r="6">
      <c r="A6" s="18" t="inlineStr">
        <is>
          <t>3</t>
        </is>
      </c>
      <c r="B6" s="18" t="inlineStr">
        <is>
          <t>Éducation et formation</t>
        </is>
      </c>
      <c r="C6" s="18" t="inlineStr">
        <is>
          <t>Systèmes déterminant l'accès, l'admission, l'affectation, l'évaluation des apprenants</t>
        </is>
      </c>
      <c r="D6" s="18" t="inlineStr">
        <is>
          <t>Orientation scolaire automatisée, correction automatique, surveillance examens, notation prédictive</t>
        </is>
      </c>
      <c r="E6" s="18" t="inlineStr">
        <is>
          <t>Art. 6, 26</t>
        </is>
      </c>
    </row>
    <row r="7">
      <c r="A7" s="19" t="inlineStr">
        <is>
          <t>4a</t>
        </is>
      </c>
      <c r="B7" s="19" t="inlineStr">
        <is>
          <t>Emploi - Recrutement</t>
        </is>
      </c>
      <c r="C7" s="19" t="inlineStr">
        <is>
          <t>Publication ciblée d'offres, analyse et filtrage des candidatures, évaluation des candidats</t>
        </is>
      </c>
      <c r="D7" s="19" t="inlineStr">
        <is>
          <t>Tri automatique de CV, matching candidats/postes, analyse vidéo entretien, scoring candidats</t>
        </is>
      </c>
      <c r="E7" s="19" t="inlineStr">
        <is>
          <t>Art. 6, 26</t>
        </is>
      </c>
    </row>
    <row r="8">
      <c r="A8" s="18" t="inlineStr">
        <is>
          <t>4b</t>
        </is>
      </c>
      <c r="B8" s="18" t="inlineStr">
        <is>
          <t>Emploi - Gestion</t>
        </is>
      </c>
      <c r="C8" s="18" t="inlineStr">
        <is>
          <t>Décisions affectant les conditions de travail, promotion, licenciement, allocation des tâches</t>
        </is>
      </c>
      <c r="D8" s="18" t="inlineStr">
        <is>
          <t>Évaluation performance IA, détection désengagement, prédiction turnover, affectation automatique</t>
        </is>
      </c>
      <c r="E8" s="18" t="inlineStr">
        <is>
          <t>Art. 6, 26</t>
        </is>
      </c>
    </row>
    <row r="9">
      <c r="A9" s="19" t="inlineStr">
        <is>
          <t>5a</t>
        </is>
      </c>
      <c r="B9" s="19" t="inlineStr">
        <is>
          <t>Services essentiels privés</t>
        </is>
      </c>
      <c r="C9" s="19" t="inlineStr">
        <is>
          <t>Évaluation de l'éligibilité aux prestations et services essentiels privés</t>
        </is>
      </c>
      <c r="D9" s="19" t="inlineStr">
        <is>
          <t>Scoring assurance, évaluation risque santé, tarification personnalisée, accès services bancaires</t>
        </is>
      </c>
      <c r="E9" s="19" t="inlineStr">
        <is>
          <t>Art. 6, 26</t>
        </is>
      </c>
    </row>
    <row r="10">
      <c r="A10" s="18" t="inlineStr">
        <is>
          <t>5b</t>
        </is>
      </c>
      <c r="B10" s="18" t="inlineStr">
        <is>
          <t>Solvabilité</t>
        </is>
      </c>
      <c r="C10" s="18" t="inlineStr">
        <is>
          <t>Évaluation de la solvabilité des personnes physiques</t>
        </is>
      </c>
      <c r="D10" s="18" t="inlineStr">
        <is>
          <t>Credit scoring, analyse capacité remboursement, scoring locataire, évaluation risque crédit</t>
        </is>
      </c>
      <c r="E10" s="18" t="inlineStr">
        <is>
          <t>Art. 6, 26</t>
        </is>
      </c>
    </row>
    <row r="11">
      <c r="A11" s="19" t="inlineStr">
        <is>
          <t>6</t>
        </is>
      </c>
      <c r="B11" s="19" t="inlineStr">
        <is>
          <t>Répression</t>
        </is>
      </c>
      <c r="C11" s="19" t="inlineStr">
        <is>
          <t>Utilisation par les autorités répressives</t>
        </is>
      </c>
      <c r="D11" s="19" t="inlineStr">
        <is>
          <t>Évaluation risque récidive, police prédictive, profilage, détection de mensonges, analyse preuves</t>
        </is>
      </c>
      <c r="E11" s="19" t="inlineStr">
        <is>
          <t>Art. 6, 26</t>
        </is>
      </c>
    </row>
    <row r="12">
      <c r="A12" s="18" t="inlineStr">
        <is>
          <t>7</t>
        </is>
      </c>
      <c r="B12" s="18" t="inlineStr">
        <is>
          <t>Migration et asile</t>
        </is>
      </c>
      <c r="C12" s="18" t="inlineStr">
        <is>
          <t>Examen des demandes d'asile, de visa et de permis de séjour</t>
        </is>
      </c>
      <c r="D12" s="18" t="inlineStr">
        <is>
          <t>Vérification authenticité documents, évaluation risque migratoire, aide décision asile</t>
        </is>
      </c>
      <c r="E12" s="18" t="inlineStr">
        <is>
          <t>Art. 6, 26</t>
        </is>
      </c>
    </row>
    <row r="13">
      <c r="A13" s="19" t="inlineStr">
        <is>
          <t>8</t>
        </is>
      </c>
      <c r="B13" s="19" t="inlineStr">
        <is>
          <t>Justice</t>
        </is>
      </c>
      <c r="C13" s="19" t="inlineStr">
        <is>
          <t>Assistance aux autorités judiciaires dans la recherche et l'interprétation des faits et du droit</t>
        </is>
      </c>
      <c r="D13" s="19" t="inlineStr">
        <is>
          <t>Analyse jurisprudence, prédiction issue procès, aide rédaction décisions, recherche juridique IA</t>
        </is>
      </c>
      <c r="E13" s="19" t="inlineStr">
        <is>
          <t>Art. 6, 26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18" customWidth="1" min="3" max="3"/>
    <col width="12" customWidth="1" min="4" max="4"/>
    <col width="15" customWidth="1" min="5" max="5"/>
    <col width="12" customWidth="1" min="6" max="6"/>
    <col width="15" customWidth="1" min="7" max="7"/>
    <col width="15" customWidth="1" min="8" max="8"/>
  </cols>
  <sheetData>
    <row r="1" ht="35" customHeight="1">
      <c r="A1" s="1" t="inlineStr">
        <is>
          <t>📜 HISTORIQUE DES CLASSIFICATIONS RÉALISÉES</t>
        </is>
      </c>
    </row>
    <row r="3">
      <c r="A3" s="17" t="inlineStr">
        <is>
          <t>Date</t>
        </is>
      </c>
      <c r="B3" s="17" t="inlineStr">
        <is>
          <t>Système</t>
        </is>
      </c>
      <c r="C3" s="17" t="inlineStr">
        <is>
          <t>Classification</t>
        </is>
      </c>
      <c r="D3" s="17" t="inlineStr">
        <is>
          <t>Score Interdit</t>
        </is>
      </c>
      <c r="E3" s="17" t="inlineStr">
        <is>
          <t>Score Haut Risque</t>
        </is>
      </c>
      <c r="F3" s="17" t="inlineStr">
        <is>
          <t>Score Limité</t>
        </is>
      </c>
      <c r="G3" s="17" t="inlineStr">
        <is>
          <t>Évaluateur</t>
        </is>
      </c>
      <c r="H3" s="17" t="inlineStr">
        <is>
          <t>Validé par</t>
        </is>
      </c>
    </row>
    <row r="4">
      <c r="A4" s="20" t="n"/>
      <c r="B4" s="20" t="n"/>
      <c r="C4" s="20" t="n"/>
      <c r="D4" s="20" t="n"/>
      <c r="E4" s="20" t="n"/>
      <c r="F4" s="20" t="n"/>
      <c r="G4" s="20" t="n"/>
      <c r="H4" s="20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</row>
    <row r="6">
      <c r="A6" s="20" t="n"/>
      <c r="B6" s="20" t="n"/>
      <c r="C6" s="20" t="n"/>
      <c r="D6" s="20" t="n"/>
      <c r="E6" s="20" t="n"/>
      <c r="F6" s="20" t="n"/>
      <c r="G6" s="20" t="n"/>
      <c r="H6" s="20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</row>
    <row r="8">
      <c r="A8" s="20" t="n"/>
      <c r="B8" s="20" t="n"/>
      <c r="C8" s="20" t="n"/>
      <c r="D8" s="20" t="n"/>
      <c r="E8" s="20" t="n"/>
      <c r="F8" s="20" t="n"/>
      <c r="G8" s="20" t="n"/>
      <c r="H8" s="20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20" t="n"/>
      <c r="B10" s="20" t="n"/>
      <c r="C10" s="20" t="n"/>
      <c r="D10" s="20" t="n"/>
      <c r="E10" s="20" t="n"/>
      <c r="F10" s="20" t="n"/>
      <c r="G10" s="20" t="n"/>
      <c r="H10" s="20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20" t="n"/>
      <c r="B12" s="20" t="n"/>
      <c r="C12" s="20" t="n"/>
      <c r="D12" s="20" t="n"/>
      <c r="E12" s="20" t="n"/>
      <c r="F12" s="20" t="n"/>
      <c r="G12" s="20" t="n"/>
      <c r="H12" s="20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20" t="n"/>
      <c r="B14" s="20" t="n"/>
      <c r="C14" s="20" t="n"/>
      <c r="D14" s="20" t="n"/>
      <c r="E14" s="20" t="n"/>
      <c r="F14" s="20" t="n"/>
      <c r="G14" s="20" t="n"/>
      <c r="H14" s="20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20" t="n"/>
      <c r="B16" s="20" t="n"/>
      <c r="C16" s="20" t="n"/>
      <c r="D16" s="20" t="n"/>
      <c r="E16" s="20" t="n"/>
      <c r="F16" s="20" t="n"/>
      <c r="G16" s="20" t="n"/>
      <c r="H16" s="20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20" t="n"/>
      <c r="B18" s="20" t="n"/>
      <c r="C18" s="20" t="n"/>
      <c r="D18" s="20" t="n"/>
      <c r="E18" s="20" t="n"/>
      <c r="F18" s="20" t="n"/>
      <c r="G18" s="20" t="n"/>
      <c r="H18" s="20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20" t="n"/>
      <c r="B20" s="20" t="n"/>
      <c r="C20" s="20" t="n"/>
      <c r="D20" s="20" t="n"/>
      <c r="E20" s="20" t="n"/>
      <c r="F20" s="20" t="n"/>
      <c r="G20" s="20" t="n"/>
      <c r="H20" s="20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20" t="n"/>
      <c r="B22" s="20" t="n"/>
      <c r="C22" s="20" t="n"/>
      <c r="D22" s="20" t="n"/>
      <c r="E22" s="20" t="n"/>
      <c r="F22" s="20" t="n"/>
      <c r="G22" s="20" t="n"/>
      <c r="H22" s="20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20" t="n"/>
      <c r="B24" s="20" t="n"/>
      <c r="C24" s="20" t="n"/>
      <c r="D24" s="20" t="n"/>
      <c r="E24" s="20" t="n"/>
      <c r="F24" s="20" t="n"/>
      <c r="G24" s="20" t="n"/>
      <c r="H24" s="20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20" t="n"/>
      <c r="B26" s="20" t="n"/>
      <c r="C26" s="20" t="n"/>
      <c r="D26" s="20" t="n"/>
      <c r="E26" s="20" t="n"/>
      <c r="F26" s="20" t="n"/>
      <c r="G26" s="20" t="n"/>
      <c r="H26" s="20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20" t="n"/>
      <c r="B28" s="20" t="n"/>
      <c r="C28" s="20" t="n"/>
      <c r="D28" s="20" t="n"/>
      <c r="E28" s="20" t="n"/>
      <c r="F28" s="20" t="n"/>
      <c r="G28" s="20" t="n"/>
      <c r="H28" s="20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20" t="n"/>
      <c r="B30" s="20" t="n"/>
      <c r="C30" s="20" t="n"/>
      <c r="D30" s="20" t="n"/>
      <c r="E30" s="20" t="n"/>
      <c r="F30" s="20" t="n"/>
      <c r="G30" s="20" t="n"/>
      <c r="H30" s="20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20" t="n"/>
      <c r="B32" s="20" t="n"/>
      <c r="C32" s="20" t="n"/>
      <c r="D32" s="20" t="n"/>
      <c r="E32" s="20" t="n"/>
      <c r="F32" s="20" t="n"/>
      <c r="G32" s="20" t="n"/>
      <c r="H32" s="20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20" t="n"/>
      <c r="B34" s="20" t="n"/>
      <c r="C34" s="20" t="n"/>
      <c r="D34" s="20" t="n"/>
      <c r="E34" s="20" t="n"/>
      <c r="F34" s="20" t="n"/>
      <c r="G34" s="20" t="n"/>
      <c r="H34" s="20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20" t="n"/>
      <c r="B38" s="20" t="n"/>
      <c r="C38" s="20" t="n"/>
      <c r="D38" s="20" t="n"/>
      <c r="E38" s="20" t="n"/>
      <c r="F38" s="20" t="n"/>
      <c r="G38" s="20" t="n"/>
      <c r="H38" s="20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 t="n"/>
    </row>
    <row r="41">
      <c r="A41" s="6" t="n"/>
      <c r="B41" s="6" t="n"/>
      <c r="C41" s="6" t="n"/>
      <c r="D41" s="6" t="n"/>
      <c r="E41" s="6" t="n"/>
      <c r="F41" s="6" t="n"/>
      <c r="G41" s="6" t="n"/>
      <c r="H41" s="6" t="n"/>
    </row>
    <row r="42">
      <c r="A42" s="20" t="n"/>
      <c r="B42" s="20" t="n"/>
      <c r="C42" s="20" t="n"/>
      <c r="D42" s="20" t="n"/>
      <c r="E42" s="20" t="n"/>
      <c r="F42" s="20" t="n"/>
      <c r="G42" s="20" t="n"/>
      <c r="H42" s="20" t="n"/>
    </row>
    <row r="43">
      <c r="A43" s="6" t="n"/>
      <c r="B43" s="6" t="n"/>
      <c r="C43" s="6" t="n"/>
      <c r="D43" s="6" t="n"/>
      <c r="E43" s="6" t="n"/>
      <c r="F43" s="6" t="n"/>
      <c r="G43" s="6" t="n"/>
      <c r="H43" s="6" t="n"/>
    </row>
    <row r="44">
      <c r="A44" s="20" t="n"/>
      <c r="B44" s="20" t="n"/>
      <c r="C44" s="20" t="n"/>
      <c r="D44" s="20" t="n"/>
      <c r="E44" s="20" t="n"/>
      <c r="F44" s="20" t="n"/>
      <c r="G44" s="20" t="n"/>
      <c r="H44" s="20" t="n"/>
    </row>
    <row r="45">
      <c r="A45" s="6" t="n"/>
      <c r="B45" s="6" t="n"/>
      <c r="C45" s="6" t="n"/>
      <c r="D45" s="6" t="n"/>
      <c r="E45" s="6" t="n"/>
      <c r="F45" s="6" t="n"/>
      <c r="G45" s="6" t="n"/>
      <c r="H45" s="6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</row>
    <row r="47">
      <c r="A47" s="6" t="n"/>
      <c r="B47" s="6" t="n"/>
      <c r="C47" s="6" t="n"/>
      <c r="D47" s="6" t="n"/>
      <c r="E47" s="6" t="n"/>
      <c r="F47" s="6" t="n"/>
      <c r="G47" s="6" t="n"/>
      <c r="H47" s="6" t="n"/>
    </row>
    <row r="48">
      <c r="A48" s="20" t="n"/>
      <c r="B48" s="20" t="n"/>
      <c r="C48" s="20" t="n"/>
      <c r="D48" s="20" t="n"/>
      <c r="E48" s="20" t="n"/>
      <c r="F48" s="20" t="n"/>
      <c r="G48" s="20" t="n"/>
      <c r="H48" s="20" t="n"/>
    </row>
    <row r="49">
      <c r="A49" s="6" t="n"/>
      <c r="B49" s="6" t="n"/>
      <c r="C49" s="6" t="n"/>
      <c r="D49" s="6" t="n"/>
      <c r="E49" s="6" t="n"/>
      <c r="F49" s="6" t="n"/>
      <c r="G49" s="6" t="n"/>
      <c r="H49" s="6" t="n"/>
    </row>
    <row r="50">
      <c r="A50" s="20" t="n"/>
      <c r="B50" s="20" t="n"/>
      <c r="C50" s="20" t="n"/>
      <c r="D50" s="20" t="n"/>
      <c r="E50" s="20" t="n"/>
      <c r="F50" s="20" t="n"/>
      <c r="G50" s="20" t="n"/>
      <c r="H50" s="20" t="n"/>
    </row>
    <row r="51">
      <c r="A51" s="6" t="n"/>
      <c r="B51" s="6" t="n"/>
      <c r="C51" s="6" t="n"/>
      <c r="D51" s="6" t="n"/>
      <c r="E51" s="6" t="n"/>
      <c r="F51" s="6" t="n"/>
      <c r="G51" s="6" t="n"/>
      <c r="H51" s="6" t="n"/>
    </row>
    <row r="52">
      <c r="A52" s="20" t="n"/>
      <c r="B52" s="20" t="n"/>
      <c r="C52" s="20" t="n"/>
      <c r="D52" s="20" t="n"/>
      <c r="E52" s="20" t="n"/>
      <c r="F52" s="20" t="n"/>
      <c r="G52" s="20" t="n"/>
      <c r="H52" s="20" t="n"/>
    </row>
    <row r="53">
      <c r="A53" s="6" t="n"/>
      <c r="B53" s="6" t="n"/>
      <c r="C53" s="6" t="n"/>
      <c r="D53" s="6" t="n"/>
      <c r="E53" s="6" t="n"/>
      <c r="F53" s="6" t="n"/>
      <c r="G53" s="6" t="n"/>
      <c r="H53" s="6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2025-12-27T12:24:50Z</dcterms:created>
  <dcterms:modified xmlns:dcterms="http://purl.org/dc/terms/" xmlns:xsi="http://www.w3.org/2001/XMLSchema-instance" xsi:type="dcterms:W3CDTF">2025-12-27T12:24:50Z</dcterms:modified>
</cp:coreProperties>
</file>