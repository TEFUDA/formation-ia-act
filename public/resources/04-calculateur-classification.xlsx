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🌳 Arbre de Décision" sheetId="1" state="visible" r:id="rId1"/>
    <sheet xmlns:r="http://schemas.openxmlformats.org/officeDocument/2006/relationships" name="📚 Référenti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1E3A5F"/>
      <sz val="16"/>
    </font>
    <font>
      <i val="1"/>
      <color rgb="00666666"/>
      <sz val="10"/>
    </font>
    <font>
      <b val="1"/>
      <color rgb="001E3A5F"/>
      <sz val="12"/>
    </font>
    <font>
      <b val="1"/>
      <color rgb="00FFFFFF"/>
      <sz val="11"/>
    </font>
    <font>
      <i val="1"/>
      <sz val="9"/>
    </font>
    <font>
      <b val="1"/>
      <color rgb="001E3A5F"/>
      <sz val="14"/>
    </font>
    <font>
      <b val="1"/>
      <sz val="12"/>
    </font>
    <font>
      <b val="1"/>
      <sz val="16"/>
    </font>
    <font>
      <b val="1"/>
      <sz val="14"/>
    </font>
    <font>
      <sz val="10"/>
    </font>
  </fonts>
  <fills count="5">
    <fill>
      <patternFill/>
    </fill>
    <fill>
      <patternFill patternType="gray125"/>
    </fill>
    <fill>
      <patternFill patternType="solid">
        <fgColor rgb="00FFFFCC"/>
      </patternFill>
    </fill>
    <fill>
      <patternFill patternType="solid">
        <fgColor rgb="005B9BD5"/>
      </patternFill>
    </fill>
    <fill>
      <patternFill patternType="solid">
        <fgColor rgb="00DEEBF7"/>
      </patternFill>
    </fill>
  </fills>
  <borders count="6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horizontal="center" vertical="center" wrapText="1"/>
    </xf>
    <xf numFmtId="0" fontId="9" fillId="0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6" customWidth="1" min="1" max="1"/>
    <col width="60" customWidth="1" min="2" max="2"/>
    <col width="12" customWidth="1" min="3" max="3"/>
    <col width="25" customWidth="1" min="4" max="4"/>
    <col width="10" customWidth="1" min="5" max="5"/>
  </cols>
  <sheetData>
    <row r="1" ht="30" customHeight="1">
      <c r="A1" s="1" t="inlineStr">
        <is>
          <t>CALCULATEUR DE CLASSIFICATION AI ACT</t>
        </is>
      </c>
    </row>
    <row r="2">
      <c r="A2" s="2" t="inlineStr">
        <is>
          <t>Répondez aux questions ci-dessous pour déterminer automatiquement la classification de votre système IA</t>
        </is>
      </c>
    </row>
    <row r="4">
      <c r="A4" s="3" t="inlineStr">
        <is>
          <t>INFORMATIONS SYSTÈME</t>
        </is>
      </c>
    </row>
    <row r="5">
      <c r="A5" t="inlineStr">
        <is>
          <t>Nom du système IA à classifier :</t>
        </is>
      </c>
      <c r="B5" s="4" t="inlineStr"/>
      <c r="C5" s="5" t="n"/>
      <c r="D5" s="5" t="n"/>
      <c r="E5" s="6" t="n"/>
    </row>
    <row r="7">
      <c r="A7" s="3" t="inlineStr">
        <is>
          <t>QUESTIONS DE CLASSIFICATION</t>
        </is>
      </c>
    </row>
    <row r="8">
      <c r="A8" s="7" t="inlineStr">
        <is>
          <t>#</t>
        </is>
      </c>
      <c r="B8" s="7" t="inlineStr">
        <is>
          <t>Question</t>
        </is>
      </c>
      <c r="C8" s="7" t="inlineStr">
        <is>
          <t>Réponse</t>
        </is>
      </c>
      <c r="D8" s="7" t="inlineStr">
        <is>
          <t>Impact si Oui</t>
        </is>
      </c>
      <c r="E8" s="7" t="inlineStr">
        <is>
          <t>Points</t>
        </is>
      </c>
    </row>
    <row r="9">
      <c r="A9" s="8" t="inlineStr">
        <is>
          <t>Q1</t>
        </is>
      </c>
      <c r="B9" s="9" t="inlineStr">
        <is>
          <t>Le système manipule-t-il le comportement humain de manière subliminale ou exploite-t-il des vulnérabilités ?</t>
        </is>
      </c>
      <c r="C9" s="10" t="inlineStr"/>
      <c r="D9" s="11" t="inlineStr">
        <is>
          <t>INTERDIT si Oui</t>
        </is>
      </c>
      <c r="E9" s="12">
        <f>SI(C9="Oui";100;0)</f>
        <v/>
      </c>
    </row>
    <row r="10">
      <c r="A10" s="8" t="inlineStr">
        <is>
          <t>Q2</t>
        </is>
      </c>
      <c r="B10" s="9" t="inlineStr">
        <is>
          <t>Le système effectue-t-il du scoring social (notation des citoyens) ?</t>
        </is>
      </c>
      <c r="C10" s="10" t="inlineStr"/>
      <c r="D10" s="11" t="inlineStr">
        <is>
          <t>INTERDIT si Oui</t>
        </is>
      </c>
      <c r="E10" s="12">
        <f>SI(C10="Oui";100;0)</f>
        <v/>
      </c>
    </row>
    <row r="11">
      <c r="A11" s="8" t="inlineStr">
        <is>
          <t>Q3</t>
        </is>
      </c>
      <c r="B11" s="9" t="inlineStr">
        <is>
          <t>Le système utilise-t-il la reconnaissance faciale en temps réel dans l'espace public ?</t>
        </is>
      </c>
      <c r="C11" s="10" t="inlineStr"/>
      <c r="D11" s="11" t="inlineStr">
        <is>
          <t>INTERDIT si Oui (sauf exceptions)</t>
        </is>
      </c>
      <c r="E11" s="12">
        <f>SI(C11="Oui";100;0)</f>
        <v/>
      </c>
    </row>
    <row r="12">
      <c r="A12" s="8" t="inlineStr">
        <is>
          <t>Q4</t>
        </is>
      </c>
      <c r="B12" s="9" t="inlineStr">
        <is>
          <t>Le système est-il utilisé pour le recrutement ou l'évaluation des candidats/employés ?</t>
        </is>
      </c>
      <c r="C12" s="10" t="inlineStr"/>
      <c r="D12" s="11" t="inlineStr">
        <is>
          <t>HAUT RISQUE si Oui</t>
        </is>
      </c>
      <c r="E12" s="12">
        <f>SI(C12="Oui";10;0)</f>
        <v/>
      </c>
    </row>
    <row r="13">
      <c r="A13" s="8" t="inlineStr">
        <is>
          <t>Q5</t>
        </is>
      </c>
      <c r="B13" s="9" t="inlineStr">
        <is>
          <t>Le système évalue-t-il la solvabilité ou le scoring crédit des personnes ?</t>
        </is>
      </c>
      <c r="C13" s="10" t="inlineStr"/>
      <c r="D13" s="11" t="inlineStr">
        <is>
          <t>HAUT RISQUE si Oui</t>
        </is>
      </c>
      <c r="E13" s="12">
        <f>SI(C13="Oui";10;0)</f>
        <v/>
      </c>
    </row>
    <row r="14">
      <c r="A14" s="8" t="inlineStr">
        <is>
          <t>Q6</t>
        </is>
      </c>
      <c r="B14" s="9" t="inlineStr">
        <is>
          <t>Le système influence-t-il l'accès à l'éducation ou la notation des élèves ?</t>
        </is>
      </c>
      <c r="C14" s="10" t="inlineStr"/>
      <c r="D14" s="11" t="inlineStr">
        <is>
          <t>HAUT RISQUE si Oui</t>
        </is>
      </c>
      <c r="E14" s="12">
        <f>SI(C14="Oui";10;0)</f>
        <v/>
      </c>
    </row>
    <row r="15">
      <c r="A15" s="8" t="inlineStr">
        <is>
          <t>Q7</t>
        </is>
      </c>
      <c r="B15" s="9" t="inlineStr">
        <is>
          <t>Le système est-il intégré dans un produit de sécurité (machines, véhicules, jouets) ?</t>
        </is>
      </c>
      <c r="C15" s="10" t="inlineStr"/>
      <c r="D15" s="11" t="inlineStr">
        <is>
          <t>HAUT RISQUE si Oui</t>
        </is>
      </c>
      <c r="E15" s="12">
        <f>SI(C15="Oui";10;0)</f>
        <v/>
      </c>
    </row>
    <row r="16">
      <c r="A16" s="8" t="inlineStr">
        <is>
          <t>Q8</t>
        </is>
      </c>
      <c r="B16" s="9" t="inlineStr">
        <is>
          <t>Le système gère-t-il des infrastructures critiques (énergie, eau, transports) ?</t>
        </is>
      </c>
      <c r="C16" s="10" t="inlineStr"/>
      <c r="D16" s="11" t="inlineStr">
        <is>
          <t>HAUT RISQUE si Oui</t>
        </is>
      </c>
      <c r="E16" s="12">
        <f>SI(C16="Oui";10;0)</f>
        <v/>
      </c>
    </row>
    <row r="17">
      <c r="A17" s="8" t="inlineStr">
        <is>
          <t>Q9</t>
        </is>
      </c>
      <c r="B17" s="9" t="inlineStr">
        <is>
          <t>Le système est-il utilisé par les forces de l'ordre ou la justice ?</t>
        </is>
      </c>
      <c r="C17" s="10" t="inlineStr"/>
      <c r="D17" s="11" t="inlineStr">
        <is>
          <t>HAUT RISQUE si Oui</t>
        </is>
      </c>
      <c r="E17" s="12">
        <f>SI(C17="Oui";10;0)</f>
        <v/>
      </c>
    </row>
    <row r="18">
      <c r="A18" s="8" t="inlineStr">
        <is>
          <t>Q10</t>
        </is>
      </c>
      <c r="B18" s="9" t="inlineStr">
        <is>
          <t>Le système interagit-il directement avec des personnes (chatbot, assistant) ?</t>
        </is>
      </c>
      <c r="C18" s="10" t="inlineStr"/>
      <c r="D18" s="11" t="inlineStr">
        <is>
          <t>RISQUE LIMITÉ si Oui</t>
        </is>
      </c>
      <c r="E18" s="12">
        <f>SI(C18="Oui";1;0)</f>
        <v/>
      </c>
    </row>
    <row r="19">
      <c r="A19" s="8" t="inlineStr">
        <is>
          <t>Q11</t>
        </is>
      </c>
      <c r="B19" s="9" t="inlineStr">
        <is>
          <t>Le système génère-t-il du contenu (texte, image, vidéo, audio) ?</t>
        </is>
      </c>
      <c r="C19" s="10" t="inlineStr"/>
      <c r="D19" s="11" t="inlineStr">
        <is>
          <t>RISQUE LIMITÉ si Oui</t>
        </is>
      </c>
      <c r="E19" s="12">
        <f>SI(C19="Oui";1;0)</f>
        <v/>
      </c>
    </row>
    <row r="20">
      <c r="A20" s="8" t="inlineStr">
        <is>
          <t>Q12</t>
        </is>
      </c>
      <c r="B20" s="9" t="inlineStr">
        <is>
          <t>Le système traite-t-il des données biométriques pour l'identification ?</t>
        </is>
      </c>
      <c r="C20" s="10" t="inlineStr"/>
      <c r="D20" s="11" t="inlineStr">
        <is>
          <t>HAUT RISQUE si Oui</t>
        </is>
      </c>
      <c r="E20" s="12">
        <f>SI(C20="Oui";10;0)</f>
        <v/>
      </c>
    </row>
    <row r="22">
      <c r="A22" s="13" t="inlineStr">
        <is>
          <t>RÉSULTAT DE LA CLASSIFICATION</t>
        </is>
      </c>
    </row>
    <row r="24">
      <c r="A24" s="14" t="inlineStr">
        <is>
          <t>Score total :</t>
        </is>
      </c>
      <c r="C24" s="15">
        <f>SOMME(E9:E20)</f>
        <v/>
      </c>
    </row>
    <row r="26">
      <c r="A26" s="14" t="inlineStr">
        <is>
          <t>Classification :</t>
        </is>
      </c>
      <c r="C26" s="16">
        <f>SI(C24&gt;=100;"🚫 INTERDIT - Ce système ne peut pas être déployé dans l'UE";SI(C24&gt;=10;"🔴 HAUT RISQUE - Conformité stricte obligatoire";SI(C24&gt;=1;"🟡 RISQUE LIMITÉ - Obligations de transparence";"🟢 RISQUE MINIMAL - Pas d'obligations spécifiques")))</f>
        <v/>
      </c>
    </row>
    <row r="29">
      <c r="A29" s="3" t="inlineStr">
        <is>
          <t>ACTIONS REQUISES</t>
        </is>
      </c>
    </row>
    <row r="30" ht="100" customHeight="1">
      <c r="A30" s="17">
        <f>SI(C24&gt;=100;"❌ STOP : Arrêter immédiatement l'utilisation. Consulter un avocat spécialisé.";SI(C24&gt;=10;"📋 Établir un système de gestion des risques
📝 Documenter le fonctionnement du système
👤 Mettre en place une supervision humaine
📊 Enregistrer les logs et décisions
✅ Réaliser une évaluation de conformité";SI(C24&gt;=1;"ℹ️ Informer les utilisateurs qu'ils interagissent avec une IA
🏷️ Étiqueter clairement le contenu généré par IA";"✓ Pas d'actions obligatoires
💡 Bonnes pratiques recommandées")))</f>
        <v/>
      </c>
    </row>
    <row r="31"/>
    <row r="32"/>
    <row r="33"/>
    <row r="34"/>
  </sheetData>
  <mergeCells count="9">
    <mergeCell ref="A29:E29"/>
    <mergeCell ref="A4:E4"/>
    <mergeCell ref="A30:E34"/>
    <mergeCell ref="A2:E2"/>
    <mergeCell ref="A7:E7"/>
    <mergeCell ref="A1:E1"/>
    <mergeCell ref="C26:E26"/>
    <mergeCell ref="B5:E5"/>
    <mergeCell ref="A22:E22"/>
  </mergeCells>
  <dataValidations count="1">
    <dataValidation sqref="C9:C20" showDropDown="0" showInputMessage="0" showErrorMessage="0" allowBlank="0" type="list">
      <formula1>"Oui,Non"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RÉFÉRENTIEL DE CLASSIFICATION AI ACT</t>
        </is>
      </c>
    </row>
    <row r="3">
      <c r="A3" s="3" t="inlineStr">
        <is>
          <t>🚫 SYSTÈMES INTERDITS (Article 5)</t>
        </is>
      </c>
    </row>
    <row r="4">
      <c r="A4" s="18" t="inlineStr">
        <is>
          <t xml:space="preserve">  • Manipulation subliminale ou exploitation de vulnérabilités</t>
        </is>
      </c>
    </row>
    <row r="5">
      <c r="A5" s="18" t="inlineStr">
        <is>
          <t xml:space="preserve">  • Scoring social par les autorités publiques</t>
        </is>
      </c>
    </row>
    <row r="6">
      <c r="A6" s="18" t="inlineStr">
        <is>
          <t xml:space="preserve">  • Reconnaissance faciale en temps réel (sauf exceptions strictes)</t>
        </is>
      </c>
    </row>
    <row r="7">
      <c r="A7" s="18" t="inlineStr">
        <is>
          <t xml:space="preserve">  • Catégorisation biométrique révélant des données sensibles</t>
        </is>
      </c>
    </row>
    <row r="8">
      <c r="A8" s="18" t="inlineStr">
        <is>
          <t xml:space="preserve">  • Scraping facial non ciblé pour bases de données</t>
        </is>
      </c>
    </row>
    <row r="9">
      <c r="A9" s="18" t="inlineStr">
        <is>
          <t xml:space="preserve">  • Reconnaissance des émotions au travail/école (sauf sécurité)</t>
        </is>
      </c>
    </row>
    <row r="10">
      <c r="A10" s="18" t="inlineStr">
        <is>
          <t xml:space="preserve">  • Notation prédictive du risque de criminalité</t>
        </is>
      </c>
    </row>
    <row r="12">
      <c r="A12" s="3" t="inlineStr">
        <is>
          <t>🔴 SYSTÈMES HAUT RISQUE (Annexe III)</t>
        </is>
      </c>
    </row>
    <row r="13">
      <c r="A13" s="18" t="inlineStr">
        <is>
          <t xml:space="preserve">  • Identification et catégorisation biométrique</t>
        </is>
      </c>
    </row>
    <row r="14">
      <c r="A14" s="18" t="inlineStr">
        <is>
          <t xml:space="preserve">  • Gestion d'infrastructures critiques</t>
        </is>
      </c>
    </row>
    <row r="15">
      <c r="A15" s="18" t="inlineStr">
        <is>
          <t xml:space="preserve">  • Éducation et formation professionnelle</t>
        </is>
      </c>
    </row>
    <row r="16">
      <c r="A16" s="18" t="inlineStr">
        <is>
          <t xml:space="preserve">  • Emploi, recrutement et gestion des travailleurs</t>
        </is>
      </c>
    </row>
    <row r="17">
      <c r="A17" s="18" t="inlineStr">
        <is>
          <t xml:space="preserve">  • Accès aux services essentiels (crédit, assurance...)</t>
        </is>
      </c>
    </row>
    <row r="18">
      <c r="A18" s="18" t="inlineStr">
        <is>
          <t xml:space="preserve">  • Application de la loi et justice</t>
        </is>
      </c>
    </row>
    <row r="19">
      <c r="A19" s="18" t="inlineStr">
        <is>
          <t xml:space="preserve">  • Migration, asile et contrôle des frontières</t>
        </is>
      </c>
    </row>
    <row r="20">
      <c r="A20" s="18" t="inlineStr">
        <is>
          <t xml:space="preserve">  • Produits de sécurité (Annexe I)</t>
        </is>
      </c>
    </row>
    <row r="22">
      <c r="A22" s="3" t="inlineStr">
        <is>
          <t>🟡 SYSTÈMES À RISQUE LIMITÉ</t>
        </is>
      </c>
    </row>
    <row r="23">
      <c r="A23" s="18" t="inlineStr">
        <is>
          <t xml:space="preserve">  • Chatbots et assistants virtuels</t>
        </is>
      </c>
    </row>
    <row r="24">
      <c r="A24" s="18" t="inlineStr">
        <is>
          <t xml:space="preserve">  • Systèmes de génération de contenu (texte, image, vidéo)</t>
        </is>
      </c>
    </row>
    <row r="25">
      <c r="A25" s="18" t="inlineStr">
        <is>
          <t xml:space="preserve">  • Deepfakes et contenus synthétiques</t>
        </is>
      </c>
    </row>
    <row r="26">
      <c r="A26" s="18" t="inlineStr">
        <is>
          <t xml:space="preserve">  • Systèmes de reconnaissance d'émotions (hors travail/école)</t>
        </is>
      </c>
    </row>
    <row r="27">
      <c r="A27" s="18" t="inlineStr">
        <is>
          <t xml:space="preserve">  • Systèmes de catégorisation biométrique (hors données sensibles)</t>
        </is>
      </c>
    </row>
    <row r="29">
      <c r="A29" s="3" t="inlineStr">
        <is>
          <t>🟢 SYSTÈMES À RISQUE MINIMAL</t>
        </is>
      </c>
    </row>
    <row r="30">
      <c r="A30" s="18" t="inlineStr">
        <is>
          <t xml:space="preserve">  • Filtres anti-spam</t>
        </is>
      </c>
    </row>
    <row r="31">
      <c r="A31" s="18" t="inlineStr">
        <is>
          <t xml:space="preserve">  • Jeux vidéo utilisant l'IA</t>
        </is>
      </c>
    </row>
    <row r="32">
      <c r="A32" s="18" t="inlineStr">
        <is>
          <t xml:space="preserve">  • Systèmes de gestion des stocks</t>
        </is>
      </c>
    </row>
    <row r="33">
      <c r="A33" s="18" t="inlineStr">
        <is>
          <t xml:space="preserve">  • Assistants de rédaction basiques</t>
        </is>
      </c>
    </row>
    <row r="34">
      <c r="A34" s="18" t="inlineStr">
        <is>
          <t xml:space="preserve">  • Optimisation logistique interne</t>
        </is>
      </c>
    </row>
  </sheetData>
  <mergeCells count="5">
    <mergeCell ref="A1:C1"/>
    <mergeCell ref="A22:C22"/>
    <mergeCell ref="A3:C3"/>
    <mergeCell ref="A12:C12"/>
    <mergeCell ref="A29:C2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2025-12-26T20:10:15Z</dcterms:created>
  <dcterms:modified xmlns:dcterms="http://purl.org/dc/terms/" xmlns:xsi="http://www.w3.org/2001/XMLSchema-instance" xsi:type="dcterms:W3CDTF">2025-12-26T20:10:15Z</dcterms:modified>
</cp:coreProperties>
</file>