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Vue Globale" sheetId="1" state="visible" r:id="rId1"/>
    <sheet xmlns:r="http://schemas.openxmlformats.org/officeDocument/2006/relationships" name="📋 Actions" sheetId="2" state="visible" r:id="rId2"/>
    <sheet xmlns:r="http://schemas.openxmlformats.org/officeDocument/2006/relationships" name="📅 Calendrier 90j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E3A5F"/>
      <sz val="18"/>
    </font>
    <font>
      <i val="1"/>
      <color rgb="00666666"/>
      <sz val="10"/>
    </font>
    <font>
      <b val="1"/>
      <color rgb="002F5496"/>
      <sz val="14"/>
    </font>
    <font>
      <b val="1"/>
      <sz val="10"/>
    </font>
    <font>
      <b val="1"/>
      <color rgb="002F5496"/>
      <sz val="24"/>
    </font>
    <font>
      <b val="1"/>
      <color rgb="0070AD47"/>
      <sz val="24"/>
    </font>
    <font>
      <b val="1"/>
      <color rgb="00FFC000"/>
      <sz val="24"/>
    </font>
    <font>
      <b val="1"/>
      <color rgb="00FF0000"/>
      <sz val="24"/>
    </font>
    <font>
      <b val="1"/>
      <sz val="16"/>
    </font>
    <font>
      <b val="1"/>
      <color rgb="002F5496"/>
      <sz val="12"/>
    </font>
    <font>
      <sz val="11"/>
    </font>
    <font>
      <b val="1"/>
      <sz val="11"/>
    </font>
    <font>
      <b val="1"/>
      <color rgb="00FFC000"/>
      <sz val="12"/>
    </font>
    <font>
      <i val="1"/>
      <sz val="10"/>
    </font>
    <font>
      <b val="1"/>
      <color rgb="001E3A5F"/>
      <sz val="16"/>
    </font>
    <font>
      <b val="1"/>
      <color rgb="00FFFFFF"/>
      <sz val="11"/>
    </font>
    <font>
      <b val="1"/>
    </font>
    <font>
      <b val="1"/>
      <color rgb="002F5496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 ht="35" customHeight="1">
      <c r="A1" s="1" t="inlineStr">
        <is>
          <t>TABLEAU DE BORD - SUIVI CONFORMITÉ AI ACT</t>
        </is>
      </c>
    </row>
    <row r="2">
      <c r="A2" s="2" t="inlineStr">
        <is>
          <t>Dernière mise à jour : 26/12/2025</t>
        </is>
      </c>
    </row>
    <row r="4">
      <c r="A4" s="3" t="inlineStr">
        <is>
          <t>INDICATEURS CLÉS</t>
        </is>
      </c>
    </row>
    <row r="6">
      <c r="A6" s="4" t="inlineStr">
        <is>
          <t>Total actions</t>
        </is>
      </c>
      <c r="C6" s="4" t="inlineStr">
        <is>
          <t>Actions terminées</t>
        </is>
      </c>
      <c r="E6" s="4" t="inlineStr">
        <is>
          <t>Actions en cours</t>
        </is>
      </c>
      <c r="G6" s="4" t="inlineStr">
        <is>
          <t>Actions en retard</t>
        </is>
      </c>
    </row>
    <row r="7">
      <c r="A7" s="5">
        <f>NBVAL('📋 Actions'!A5:A100)</f>
        <v/>
      </c>
      <c r="C7" s="6">
        <f>NB.SI('📋 Actions'!F5:F100;"Terminé")</f>
        <v/>
      </c>
      <c r="E7" s="7">
        <f>NB.SI('📋 Actions'!F5:F100;"En cours")</f>
        <v/>
      </c>
      <c r="G7" s="8">
        <f>NB.SI('📋 Actions'!G5:G100;"🔴 EN RETARD")</f>
        <v/>
      </c>
    </row>
    <row r="10">
      <c r="A10" s="3" t="inlineStr">
        <is>
          <t>TAUX DE COMPLÉTION</t>
        </is>
      </c>
    </row>
    <row r="11">
      <c r="A11" t="inlineStr">
        <is>
          <t>Progression globale :</t>
        </is>
      </c>
      <c r="B11" s="9">
        <f>SI(B7&gt;0;C7/B7*100;0)</f>
        <v/>
      </c>
      <c r="C11" t="inlineStr">
        <is>
          <t>%</t>
        </is>
      </c>
    </row>
    <row r="14">
      <c r="A14" s="10" t="inlineStr">
        <is>
          <t>RÉPARTITION PAR STATUT</t>
        </is>
      </c>
    </row>
    <row r="15">
      <c r="A15" s="11" t="inlineStr">
        <is>
          <t>🟢 Terminé</t>
        </is>
      </c>
      <c r="B15" s="12">
        <f>NB.SI('📋 Actions'!F5:F100;"Terminé")</f>
        <v/>
      </c>
    </row>
    <row r="16">
      <c r="A16" s="11" t="inlineStr">
        <is>
          <t>🟡 En cours</t>
        </is>
      </c>
      <c r="B16" s="12">
        <f>NB.SI('📋 Actions'!F5:F100;"En cours")</f>
        <v/>
      </c>
    </row>
    <row r="17">
      <c r="A17" s="11" t="inlineStr">
        <is>
          <t>🔵 À faire</t>
        </is>
      </c>
      <c r="B17" s="12">
        <f>NB.SI('📋 Actions'!F5:F100;"À faire")</f>
        <v/>
      </c>
    </row>
    <row r="18">
      <c r="A18" s="11" t="inlineStr">
        <is>
          <t>🔴 En retard</t>
        </is>
      </c>
      <c r="B18" s="12">
        <f>NB.SI('📋 Actions'!G5:G100;"🔴 EN RETARD")</f>
        <v/>
      </c>
    </row>
    <row r="19">
      <c r="A19" s="11" t="inlineStr">
        <is>
          <t>⏸️ En pause</t>
        </is>
      </c>
      <c r="B19" s="12">
        <f>NB.SI('📋 Actions'!F5:F100;"En pause")</f>
        <v/>
      </c>
    </row>
    <row r="22">
      <c r="A22" s="13" t="inlineStr">
        <is>
          <t>⚠️ PROCHAINES ÉCHÉANCES (7 jours)</t>
        </is>
      </c>
    </row>
    <row r="23">
      <c r="A23" s="14" t="inlineStr">
        <is>
          <t>Consultez l'onglet '📋 Actions' filtré par date d'échéance</t>
        </is>
      </c>
    </row>
  </sheetData>
  <mergeCells count="7">
    <mergeCell ref="A4:H4"/>
    <mergeCell ref="C7"/>
    <mergeCell ref="A7"/>
    <mergeCell ref="G7"/>
    <mergeCell ref="E7"/>
    <mergeCell ref="A1:H1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18" customWidth="1" min="3" max="3"/>
    <col width="12" customWidth="1" min="4" max="4"/>
    <col width="14" customWidth="1" min="5" max="5"/>
    <col width="12" customWidth="1" min="6" max="6"/>
    <col width="15" customWidth="1" min="7" max="7"/>
    <col width="30" customWidth="1" min="8" max="8"/>
  </cols>
  <sheetData>
    <row r="1">
      <c r="A1" s="15" t="inlineStr">
        <is>
          <t>LISTE DES ACTIONS DE CONFORMITÉ</t>
        </is>
      </c>
    </row>
    <row r="4">
      <c r="A4" s="16" t="inlineStr">
        <is>
          <t>ID</t>
        </is>
      </c>
      <c r="B4" s="16" t="inlineStr">
        <is>
          <t>Action</t>
        </is>
      </c>
      <c r="C4" s="16" t="inlineStr">
        <is>
          <t>Responsable</t>
        </is>
      </c>
      <c r="D4" s="16" t="inlineStr">
        <is>
          <t>Priorité</t>
        </is>
      </c>
      <c r="E4" s="16" t="inlineStr">
        <is>
          <t>Échéance</t>
        </is>
      </c>
      <c r="F4" s="16" t="inlineStr">
        <is>
          <t>Statut</t>
        </is>
      </c>
      <c r="G4" s="16" t="inlineStr">
        <is>
          <t>Alerte</t>
        </is>
      </c>
      <c r="H4" s="16" t="inlineStr">
        <is>
          <t>Notes</t>
        </is>
      </c>
    </row>
    <row r="5">
      <c r="A5" s="17" t="inlineStr">
        <is>
          <t>ACT-001</t>
        </is>
      </c>
      <c r="B5" s="18" t="inlineStr">
        <is>
          <t>Inventorier tous les systèmes IA de l'entreprise</t>
        </is>
      </c>
      <c r="C5" s="18" t="inlineStr"/>
      <c r="D5" s="17" t="inlineStr">
        <is>
          <t>Haute</t>
        </is>
      </c>
      <c r="E5" s="17" t="inlineStr">
        <is>
          <t>2026-01-02</t>
        </is>
      </c>
      <c r="F5" s="17" t="inlineStr">
        <is>
          <t>En cours</t>
        </is>
      </c>
      <c r="G5" s="17">
        <f>SI(ET(F5&lt;&gt;"Terminé";E5&lt;&gt;"";E5&lt;AUJOURDHUI());"🔴 EN RETARD";SI(ET(F5&lt;&gt;"Terminé";E5&lt;&gt;"";E5&lt;=AUJOURDHUI()+7);"🟡 URGENT";""))</f>
        <v/>
      </c>
      <c r="H5" s="18" t="inlineStr"/>
    </row>
    <row r="6">
      <c r="A6" s="17" t="inlineStr">
        <is>
          <t>ACT-002</t>
        </is>
      </c>
      <c r="B6" s="18" t="inlineStr">
        <is>
          <t>Classifier chaque système selon l'AI Act</t>
        </is>
      </c>
      <c r="C6" s="18" t="inlineStr"/>
      <c r="D6" s="17" t="inlineStr">
        <is>
          <t>Haute</t>
        </is>
      </c>
      <c r="E6" s="17" t="inlineStr">
        <is>
          <t>2026-01-09</t>
        </is>
      </c>
      <c r="F6" s="17" t="inlineStr">
        <is>
          <t>À faire</t>
        </is>
      </c>
      <c r="G6" s="17">
        <f>SI(ET(F6&lt;&gt;"Terminé";E6&lt;&gt;"";E6&lt;AUJOURDHUI());"🔴 EN RETARD";SI(ET(F6&lt;&gt;"Terminé";E6&lt;&gt;"";E6&lt;=AUJOURDHUI()+7);"🟡 URGENT";""))</f>
        <v/>
      </c>
      <c r="H6" s="18" t="inlineStr"/>
    </row>
    <row r="7">
      <c r="A7" s="17" t="inlineStr">
        <is>
          <t>ACT-003</t>
        </is>
      </c>
      <c r="B7" s="18" t="inlineStr">
        <is>
          <t>Contacter les fournisseurs pour documentation</t>
        </is>
      </c>
      <c r="C7" s="18" t="inlineStr"/>
      <c r="D7" s="17" t="inlineStr">
        <is>
          <t>Haute</t>
        </is>
      </c>
      <c r="E7" s="17" t="inlineStr">
        <is>
          <t>2026-01-16</t>
        </is>
      </c>
      <c r="F7" s="17" t="inlineStr">
        <is>
          <t>À faire</t>
        </is>
      </c>
      <c r="G7" s="17">
        <f>SI(ET(F7&lt;&gt;"Terminé";E7&lt;&gt;"";E7&lt;AUJOURDHUI());"🔴 EN RETARD";SI(ET(F7&lt;&gt;"Terminé";E7&lt;&gt;"";E7&lt;=AUJOURDHUI()+7);"🟡 URGENT";""))</f>
        <v/>
      </c>
      <c r="H7" s="18" t="inlineStr"/>
    </row>
    <row r="8">
      <c r="A8" s="17" t="inlineStr">
        <is>
          <t>ACT-004</t>
        </is>
      </c>
      <c r="B8" s="18" t="inlineStr">
        <is>
          <t>Rédiger la politique IA interne</t>
        </is>
      </c>
      <c r="C8" s="18" t="inlineStr"/>
      <c r="D8" s="17" t="inlineStr">
        <is>
          <t>Moyenne</t>
        </is>
      </c>
      <c r="E8" s="17" t="inlineStr">
        <is>
          <t>2026-01-25</t>
        </is>
      </c>
      <c r="F8" s="17" t="inlineStr">
        <is>
          <t>À faire</t>
        </is>
      </c>
      <c r="G8" s="17">
        <f>SI(ET(F8&lt;&gt;"Terminé";E8&lt;&gt;"";E8&lt;AUJOURDHUI());"🔴 EN RETARD";SI(ET(F8&lt;&gt;"Terminé";E8&lt;&gt;"";E8&lt;=AUJOURDHUI()+7);"🟡 URGENT";""))</f>
        <v/>
      </c>
      <c r="H8" s="18" t="inlineStr"/>
    </row>
    <row r="9">
      <c r="A9" s="17" t="inlineStr">
        <is>
          <t>ACT-005</t>
        </is>
      </c>
      <c r="B9" s="18" t="inlineStr">
        <is>
          <t>Former les équipes sur l'AI Act</t>
        </is>
      </c>
      <c r="C9" s="18" t="inlineStr"/>
      <c r="D9" s="17" t="inlineStr">
        <is>
          <t>Moyenne</t>
        </is>
      </c>
      <c r="E9" s="17" t="inlineStr">
        <is>
          <t>2026-02-09</t>
        </is>
      </c>
      <c r="F9" s="17" t="inlineStr">
        <is>
          <t>À faire</t>
        </is>
      </c>
      <c r="G9" s="17">
        <f>SI(ET(F9&lt;&gt;"Terminé";E9&lt;&gt;"";E9&lt;AUJOURDHUI());"🔴 EN RETARD";SI(ET(F9&lt;&gt;"Terminé";E9&lt;&gt;"";E9&lt;=AUJOURDHUI()+7);"🟡 URGENT";""))</f>
        <v/>
      </c>
      <c r="H9" s="18" t="inlineStr"/>
    </row>
    <row r="10">
      <c r="A10" s="17" t="inlineStr">
        <is>
          <t>ACT-006</t>
        </is>
      </c>
      <c r="B10" s="18" t="inlineStr">
        <is>
          <t>Mettre en place supervision humaine (si haut risque)</t>
        </is>
      </c>
      <c r="C10" s="18" t="inlineStr"/>
      <c r="D10" s="17" t="inlineStr">
        <is>
          <t>Haute</t>
        </is>
      </c>
      <c r="E10" s="17" t="inlineStr">
        <is>
          <t>2026-02-24</t>
        </is>
      </c>
      <c r="F10" s="17" t="inlineStr">
        <is>
          <t>À faire</t>
        </is>
      </c>
      <c r="G10" s="17">
        <f>SI(ET(F10&lt;&gt;"Terminé";E10&lt;&gt;"";E10&lt;AUJOURDHUI());"🔴 EN RETARD";SI(ET(F10&lt;&gt;"Terminé";E10&lt;&gt;"";E10&lt;=AUJOURDHUI()+7);"🟡 URGENT";""))</f>
        <v/>
      </c>
      <c r="H10" s="18" t="inlineStr"/>
    </row>
    <row r="11">
      <c r="A11" s="17" t="inlineStr">
        <is>
          <t>ACT-007</t>
        </is>
      </c>
      <c r="B11" s="18" t="inlineStr">
        <is>
          <t>Créer le système de logs et traçabilité</t>
        </is>
      </c>
      <c r="C11" s="18" t="inlineStr"/>
      <c r="D11" s="17" t="inlineStr">
        <is>
          <t>Moyenne</t>
        </is>
      </c>
      <c r="E11" s="17" t="inlineStr">
        <is>
          <t>2026-03-11</t>
        </is>
      </c>
      <c r="F11" s="17" t="inlineStr">
        <is>
          <t>À faire</t>
        </is>
      </c>
      <c r="G11" s="17">
        <f>SI(ET(F11&lt;&gt;"Terminé";E11&lt;&gt;"";E11&lt;AUJOURDHUI());"🔴 EN RETARD";SI(ET(F11&lt;&gt;"Terminé";E11&lt;&gt;"";E11&lt;=AUJOURDHUI()+7);"🟡 URGENT";""))</f>
        <v/>
      </c>
      <c r="H11" s="18" t="inlineStr"/>
    </row>
    <row r="12">
      <c r="A12" s="17" t="inlineStr">
        <is>
          <t>ACT-008</t>
        </is>
      </c>
      <c r="B12" s="18" t="inlineStr">
        <is>
          <t>Réaliser évaluation d'impact (FRIA)</t>
        </is>
      </c>
      <c r="C12" s="18" t="inlineStr"/>
      <c r="D12" s="17" t="inlineStr">
        <is>
          <t>Haute</t>
        </is>
      </c>
      <c r="E12" s="17" t="inlineStr">
        <is>
          <t>2026-03-26</t>
        </is>
      </c>
      <c r="F12" s="17" t="inlineStr">
        <is>
          <t>À faire</t>
        </is>
      </c>
      <c r="G12" s="17">
        <f>SI(ET(F12&lt;&gt;"Terminé";E12&lt;&gt;"";E12&lt;AUJOURDHUI());"🔴 EN RETARD";SI(ET(F12&lt;&gt;"Terminé";E12&lt;&gt;"";E12&lt;=AUJOURDHUI()+7);"🟡 URGENT";""))</f>
        <v/>
      </c>
      <c r="H12" s="18" t="inlineStr"/>
    </row>
    <row r="13">
      <c r="A13" s="17" t="inlineStr">
        <is>
          <t>ACT-009</t>
        </is>
      </c>
      <c r="B13" s="18" t="inlineStr"/>
      <c r="C13" s="18" t="inlineStr"/>
      <c r="D13" s="17" t="inlineStr"/>
      <c r="E13" s="17" t="inlineStr"/>
      <c r="F13" s="17" t="inlineStr"/>
      <c r="G13" s="17">
        <f>SI(ET(F13&lt;&gt;"Terminé";E13&lt;&gt;"";E13&lt;AUJOURDHUI());"🔴 EN RETARD";SI(ET(F13&lt;&gt;"Terminé";E13&lt;&gt;"";E13&lt;=AUJOURDHUI()+7);"🟡 URGENT";""))</f>
        <v/>
      </c>
      <c r="H13" s="18" t="inlineStr"/>
    </row>
    <row r="14">
      <c r="A14" s="17" t="inlineStr">
        <is>
          <t>ACT-010</t>
        </is>
      </c>
      <c r="B14" s="18" t="inlineStr"/>
      <c r="C14" s="18" t="inlineStr"/>
      <c r="D14" s="17" t="inlineStr"/>
      <c r="E14" s="17" t="inlineStr"/>
      <c r="F14" s="17" t="inlineStr"/>
      <c r="G14" s="17">
        <f>SI(ET(F14&lt;&gt;"Terminé";E14&lt;&gt;"";E14&lt;AUJOURDHUI());"🔴 EN RETARD";SI(ET(F14&lt;&gt;"Terminé";E14&lt;&gt;"";E14&lt;=AUJOURDHUI()+7);"🟡 URGENT";""))</f>
        <v/>
      </c>
      <c r="H14" s="18" t="inlineStr"/>
    </row>
    <row r="15">
      <c r="A15" s="17" t="inlineStr">
        <is>
          <t>ACT-011</t>
        </is>
      </c>
      <c r="B15" s="18" t="inlineStr"/>
      <c r="C15" s="18" t="inlineStr"/>
      <c r="D15" s="17" t="inlineStr"/>
      <c r="E15" s="17" t="inlineStr"/>
      <c r="F15" s="17" t="inlineStr"/>
      <c r="G15" s="17">
        <f>SI(ET(F15&lt;&gt;"Terminé";E15&lt;&gt;"";E15&lt;AUJOURDHUI());"🔴 EN RETARD";SI(ET(F15&lt;&gt;"Terminé";E15&lt;&gt;"";E15&lt;=AUJOURDHUI()+7);"🟡 URGENT";""))</f>
        <v/>
      </c>
      <c r="H15" s="18" t="inlineStr"/>
    </row>
    <row r="16">
      <c r="A16" s="17" t="inlineStr">
        <is>
          <t>ACT-012</t>
        </is>
      </c>
      <c r="B16" s="18" t="inlineStr"/>
      <c r="C16" s="18" t="inlineStr"/>
      <c r="D16" s="17" t="inlineStr"/>
      <c r="E16" s="17" t="inlineStr"/>
      <c r="F16" s="17" t="inlineStr"/>
      <c r="G16" s="17">
        <f>SI(ET(F16&lt;&gt;"Terminé";E16&lt;&gt;"";E16&lt;AUJOURDHUI());"🔴 EN RETARD";SI(ET(F16&lt;&gt;"Terminé";E16&lt;&gt;"";E16&lt;=AUJOURDHUI()+7);"🟡 URGENT";""))</f>
        <v/>
      </c>
      <c r="H16" s="18" t="inlineStr"/>
    </row>
    <row r="17">
      <c r="A17" s="17" t="inlineStr">
        <is>
          <t>ACT-013</t>
        </is>
      </c>
      <c r="B17" s="18" t="inlineStr"/>
      <c r="C17" s="18" t="inlineStr"/>
      <c r="D17" s="17" t="inlineStr"/>
      <c r="E17" s="17" t="inlineStr"/>
      <c r="F17" s="17" t="inlineStr"/>
      <c r="G17" s="17">
        <f>SI(ET(F17&lt;&gt;"Terminé";E17&lt;&gt;"";E17&lt;AUJOURDHUI());"🔴 EN RETARD";SI(ET(F17&lt;&gt;"Terminé";E17&lt;&gt;"";E17&lt;=AUJOURDHUI()+7);"🟡 URGENT";""))</f>
        <v/>
      </c>
      <c r="H17" s="18" t="inlineStr"/>
    </row>
    <row r="18">
      <c r="A18" s="17" t="inlineStr">
        <is>
          <t>ACT-014</t>
        </is>
      </c>
      <c r="B18" s="18" t="inlineStr"/>
      <c r="C18" s="18" t="inlineStr"/>
      <c r="D18" s="17" t="inlineStr"/>
      <c r="E18" s="17" t="inlineStr"/>
      <c r="F18" s="17" t="inlineStr"/>
      <c r="G18" s="17">
        <f>SI(ET(F18&lt;&gt;"Terminé";E18&lt;&gt;"";E18&lt;AUJOURDHUI());"🔴 EN RETARD";SI(ET(F18&lt;&gt;"Terminé";E18&lt;&gt;"";E18&lt;=AUJOURDHUI()+7);"🟡 URGENT";""))</f>
        <v/>
      </c>
      <c r="H18" s="18" t="inlineStr"/>
    </row>
    <row r="19">
      <c r="A19" s="17" t="inlineStr">
        <is>
          <t>ACT-015</t>
        </is>
      </c>
      <c r="B19" s="18" t="inlineStr"/>
      <c r="C19" s="18" t="inlineStr"/>
      <c r="D19" s="17" t="inlineStr"/>
      <c r="E19" s="17" t="inlineStr"/>
      <c r="F19" s="17" t="inlineStr"/>
      <c r="G19" s="17">
        <f>SI(ET(F19&lt;&gt;"Terminé";E19&lt;&gt;"";E19&lt;AUJOURDHUI());"🔴 EN RETARD";SI(ET(F19&lt;&gt;"Terminé";E19&lt;&gt;"";E19&lt;=AUJOURDHUI()+7);"🟡 URGENT";""))</f>
        <v/>
      </c>
      <c r="H19" s="18" t="inlineStr"/>
    </row>
  </sheetData>
  <mergeCells count="1">
    <mergeCell ref="A1:H1"/>
  </mergeCells>
  <dataValidations count="2">
    <dataValidation sqref="D5:D50" showDropDown="0" showInputMessage="0" showErrorMessage="0" allowBlank="0" type="list">
      <formula1>"Haute,Moyenne,Basse"</formula1>
    </dataValidation>
    <dataValidation sqref="F5:F50" showDropDown="0" showInputMessage="0" showErrorMessage="0" allowBlank="0" type="list">
      <formula1>"À faire,En cours,En pause,Terminé,Annulé"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40" customWidth="1" min="4" max="4"/>
    <col width="40" customWidth="1" min="5" max="5"/>
  </cols>
  <sheetData>
    <row r="1">
      <c r="A1" s="15" t="inlineStr">
        <is>
          <t>CALENDRIER DE MISE EN CONFORMITÉ - 90 JOURS</t>
        </is>
      </c>
    </row>
    <row r="3">
      <c r="A3" s="16" t="inlineStr">
        <is>
          <t>Semaine</t>
        </is>
      </c>
      <c r="B3" s="16" t="inlineStr">
        <is>
          <t>Période</t>
        </is>
      </c>
      <c r="C3" s="16" t="inlineStr">
        <is>
          <t>Phase</t>
        </is>
      </c>
      <c r="D3" s="16" t="inlineStr">
        <is>
          <t>Objectifs clés</t>
        </is>
      </c>
      <c r="E3" s="16" t="inlineStr">
        <is>
          <t>Livrables attendus</t>
        </is>
      </c>
    </row>
    <row r="4">
      <c r="A4" s="19" t="inlineStr">
        <is>
          <t>S1-2</t>
        </is>
      </c>
      <c r="B4" s="17" t="inlineStr">
        <is>
          <t>Jours 1-14</t>
        </is>
      </c>
      <c r="C4" s="20" t="inlineStr">
        <is>
          <t>🔍 DIAGNOSTIC</t>
        </is>
      </c>
      <c r="D4" s="21" t="inlineStr">
        <is>
          <t>Inventaire complet des systèmes IA</t>
        </is>
      </c>
      <c r="E4" s="21" t="inlineStr">
        <is>
          <t>Registre IA v1</t>
        </is>
      </c>
    </row>
    <row r="5">
      <c r="A5" s="19" t="inlineStr">
        <is>
          <t>S3-4</t>
        </is>
      </c>
      <c r="B5" s="17" t="inlineStr">
        <is>
          <t>Jours 15-28</t>
        </is>
      </c>
      <c r="C5" s="20" t="inlineStr">
        <is>
          <t>📊 CLASSIFICATION</t>
        </is>
      </c>
      <c r="D5" s="21" t="inlineStr">
        <is>
          <t>Classifier tous les systèmes</t>
        </is>
      </c>
      <c r="E5" s="21" t="inlineStr">
        <is>
          <t>Matrice de classification</t>
        </is>
      </c>
    </row>
    <row r="6">
      <c r="A6" s="19" t="inlineStr">
        <is>
          <t>S5-6</t>
        </is>
      </c>
      <c r="B6" s="17" t="inlineStr">
        <is>
          <t>Jours 29-42</t>
        </is>
      </c>
      <c r="C6" s="20" t="inlineStr">
        <is>
          <t>📝 DOCUMENTATION</t>
        </is>
      </c>
      <c r="D6" s="21" t="inlineStr">
        <is>
          <t>Collecter documentation fournisseurs</t>
        </is>
      </c>
      <c r="E6" s="21" t="inlineStr">
        <is>
          <t>Dossiers techniques</t>
        </is>
      </c>
    </row>
    <row r="7">
      <c r="A7" s="19" t="inlineStr">
        <is>
          <t>S7-8</t>
        </is>
      </c>
      <c r="B7" s="17" t="inlineStr">
        <is>
          <t>Jours 43-56</t>
        </is>
      </c>
      <c r="C7" s="20" t="inlineStr">
        <is>
          <t>⚙️ PROCESSUS</t>
        </is>
      </c>
      <c r="D7" s="21" t="inlineStr">
        <is>
          <t>Mettre en place gouvernance IA</t>
        </is>
      </c>
      <c r="E7" s="21" t="inlineStr">
        <is>
          <t>Politique IA signée</t>
        </is>
      </c>
    </row>
    <row r="8">
      <c r="A8" s="19" t="inlineStr">
        <is>
          <t>S9-10</t>
        </is>
      </c>
      <c r="B8" s="17" t="inlineStr">
        <is>
          <t>Jours 57-70</t>
        </is>
      </c>
      <c r="C8" s="20" t="inlineStr">
        <is>
          <t>👥 FORMATION</t>
        </is>
      </c>
      <c r="D8" s="21" t="inlineStr">
        <is>
          <t>Former les équipes concernées</t>
        </is>
      </c>
      <c r="E8" s="21" t="inlineStr">
        <is>
          <t>Attestations formation</t>
        </is>
      </c>
    </row>
    <row r="9">
      <c r="A9" s="19" t="inlineStr">
        <is>
          <t>S11-12</t>
        </is>
      </c>
      <c r="B9" s="17" t="inlineStr">
        <is>
          <t>Jours 71-84</t>
        </is>
      </c>
      <c r="C9" s="20" t="inlineStr">
        <is>
          <t>✅ VALIDATION</t>
        </is>
      </c>
      <c r="D9" s="21" t="inlineStr">
        <is>
          <t>Tests et ajustements</t>
        </is>
      </c>
      <c r="E9" s="21" t="inlineStr">
        <is>
          <t>Rapport de conformité</t>
        </is>
      </c>
    </row>
    <row r="10">
      <c r="A10" s="19" t="inlineStr">
        <is>
          <t>S13</t>
        </is>
      </c>
      <c r="B10" s="17" t="inlineStr">
        <is>
          <t>Jours 85-90</t>
        </is>
      </c>
      <c r="C10" s="20" t="inlineStr">
        <is>
          <t>🎯 FINALISATION</t>
        </is>
      </c>
      <c r="D10" s="21" t="inlineStr">
        <is>
          <t>Audit interne final</t>
        </is>
      </c>
      <c r="E10" s="21" t="inlineStr">
        <is>
          <t>Certificat de conformité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2025-12-26T20:11:03Z</dcterms:created>
  <dcterms:modified xmlns:dcterms="http://purl.org/dc/terms/" xmlns:xsi="http://www.w3.org/2001/XMLSchema-instance" xsi:type="dcterms:W3CDTF">2025-12-26T20:11:03Z</dcterms:modified>
</cp:coreProperties>
</file>