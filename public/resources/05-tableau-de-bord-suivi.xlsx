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Actions" sheetId="2" state="visible" r:id="rId2"/>
    <sheet xmlns:r="http://schemas.openxmlformats.org/officeDocument/2006/relationships" name="Calendrier" sheetId="3" state="visible" r:id="rId3"/>
    <sheet xmlns:r="http://schemas.openxmlformats.org/officeDocument/2006/relationships" name="Risques Projet"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6"/>
    </font>
    <font>
      <b val="1"/>
      <color rgb="00404040"/>
      <sz val="10"/>
    </font>
    <font>
      <b val="1"/>
      <color rgb="001F4E79"/>
      <sz val="12"/>
    </font>
    <font>
      <b val="1"/>
      <color rgb="001F4E79"/>
      <sz val="28"/>
    </font>
    <font>
      <b val="1"/>
      <color rgb="001F4E79"/>
      <sz val="18"/>
    </font>
    <font>
      <b val="1"/>
      <color rgb="00FFFFFF"/>
      <sz val="11"/>
    </font>
  </fonts>
  <fills count="8">
    <fill>
      <patternFill/>
    </fill>
    <fill>
      <patternFill patternType="gray125"/>
    </fill>
    <fill>
      <patternFill patternType="solid">
        <fgColor rgb="001F4E79"/>
        <bgColor rgb="001F4E79"/>
      </patternFill>
    </fill>
    <fill>
      <patternFill patternType="solid">
        <fgColor rgb="00BDD7EE"/>
        <bgColor rgb="00BDD7EE"/>
      </patternFill>
    </fill>
    <fill>
      <patternFill patternType="solid">
        <fgColor rgb="00FF6B6B"/>
        <bgColor rgb="00FF6B6B"/>
      </patternFill>
    </fill>
    <fill>
      <patternFill patternType="solid">
        <fgColor rgb="004ECDC4"/>
        <bgColor rgb="004ECDC4"/>
      </patternFill>
    </fill>
    <fill>
      <patternFill patternType="solid">
        <fgColor rgb="0095E1D3"/>
        <bgColor rgb="0095E1D3"/>
      </patternFill>
    </fill>
    <fill>
      <patternFill patternType="solid">
        <fgColor rgb="00F2F2F2"/>
        <bgColor rgb="00F2F2F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3" borderId="0" pivotButton="0" quotePrefix="0" xfId="0"/>
    <xf numFmtId="0" fontId="4"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2" fillId="4" borderId="0" pivotButton="0" quotePrefix="0" xfId="0"/>
    <xf numFmtId="0" fontId="0" fillId="4" borderId="0" pivotButton="0" quotePrefix="0" xfId="0"/>
    <xf numFmtId="9" fontId="5" fillId="0" borderId="0" pivotButton="0" quotePrefix="0" xfId="0"/>
    <xf numFmtId="0" fontId="2" fillId="5" borderId="0" pivotButton="0" quotePrefix="0" xfId="0"/>
    <xf numFmtId="0" fontId="0" fillId="5" borderId="0" pivotButton="0" quotePrefix="0" xfId="0"/>
    <xf numFmtId="0" fontId="2" fillId="6" borderId="0" pivotButton="0" quotePrefix="0" xfId="0"/>
    <xf numFmtId="0" fontId="0" fillId="6" borderId="0" pivotButton="0" quotePrefix="0" xfId="0"/>
    <xf numFmtId="0" fontId="0" fillId="0" borderId="0" applyAlignment="1" pivotButton="0" quotePrefix="0" xfId="0">
      <alignment horizontal="center" vertical="center" wrapText="1"/>
    </xf>
    <xf numFmtId="0" fontId="6" fillId="2" borderId="1" applyAlignment="1" pivotButton="0" quotePrefix="0" xfId="0">
      <alignment horizontal="center" vertical="center" wrapText="1"/>
    </xf>
    <xf numFmtId="0" fontId="0" fillId="7" borderId="1" pivotButton="0" quotePrefix="0" xfId="0"/>
    <xf numFmtId="0" fontId="0" fillId="0" borderId="1" pivotButton="0" quotePrefix="0" xfId="0"/>
    <xf numFmtId="0" fontId="6" fillId="2" borderId="0" pivotButton="0" quotePrefix="0" xfId="0"/>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min="1" max="1"/>
    <col width="12" customWidth="1" min="2" max="2"/>
    <col width="10" customWidth="1" min="3" max="3"/>
    <col width="12" customWidth="1" min="4" max="4"/>
    <col width="15"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35" customHeight="1">
      <c r="A1" s="1" t="inlineStr">
        <is>
          <t>📊 TABLEAU DE BORD - SUIVI PROJET CONFORMITÉ AI ACT</t>
        </is>
      </c>
    </row>
    <row r="3">
      <c r="A3" s="2" t="inlineStr">
        <is>
          <t>Chef de projet :</t>
        </is>
      </c>
      <c r="D3" s="2" t="inlineStr">
        <is>
          <t>Date début :</t>
        </is>
      </c>
      <c r="G3" s="2" t="inlineStr">
        <is>
          <t>Date fin prévue :</t>
        </is>
      </c>
      <c r="J3" s="2" t="inlineStr">
        <is>
          <t>Dernière MAJ :</t>
        </is>
      </c>
    </row>
    <row r="5">
      <c r="A5" s="3" t="inlineStr">
        <is>
          <t>📈 PROGRESSION GLOBALE DU PROJET</t>
        </is>
      </c>
    </row>
    <row r="6">
      <c r="G6" s="2" t="inlineStr">
        <is>
          <t>Terminées</t>
        </is>
      </c>
      <c r="I6" s="2" t="inlineStr">
        <is>
          <t>En cours</t>
        </is>
      </c>
      <c r="K6" s="2" t="inlineStr">
        <is>
          <t>À faire</t>
        </is>
      </c>
    </row>
    <row r="7">
      <c r="B7" s="2" t="inlineStr">
        <is>
          <t>Avancement</t>
        </is>
      </c>
      <c r="C7" s="4">
        <f>IFERROR(ROUND(COUNTIF(Actions!I:I,"✅ Terminé")/COUNTA(Actions!A4:A100)*100,0)&amp;"%","0%")</f>
        <v/>
      </c>
      <c r="G7" s="5">
        <f>COUNTIF(Actions!I:I,"✅ Terminé")</f>
        <v/>
      </c>
      <c r="I7" s="5">
        <f>COUNTIF(Actions!I:I,"🔄 En cours")</f>
        <v/>
      </c>
      <c r="K7" s="5">
        <f>COUNTIF(Actions!I:I,"📋 À faire")</f>
        <v/>
      </c>
    </row>
    <row r="8">
      <c r="B8" s="2" t="inlineStr">
        <is>
          <t>Global</t>
        </is>
      </c>
      <c r="G8" s="2" t="inlineStr">
        <is>
          <t>Bloquées</t>
        </is>
      </c>
      <c r="I8" s="2" t="inlineStr">
        <is>
          <t>En retard</t>
        </is>
      </c>
      <c r="K8" s="2" t="inlineStr">
        <is>
          <t>Total</t>
        </is>
      </c>
    </row>
    <row r="9">
      <c r="G9" s="5">
        <f>COUNTIF(Actions!I:I,"⛔ Bloqué")</f>
        <v/>
      </c>
      <c r="I9" s="5">
        <f>COUNTIFS(Actions!I:I,"&lt;&gt;✅ Terminé",Actions!G:G,"&lt;"&amp;TODAY())</f>
        <v/>
      </c>
      <c r="K9" s="5">
        <f>COUNTA(Actions!A4:A100)-COUNTBLANK(Actions!B4:B100)</f>
        <v/>
      </c>
    </row>
    <row r="11">
      <c r="A11" s="3" t="inlineStr">
        <is>
          <t>🎯 PROGRESSION PAR PHASE</t>
        </is>
      </c>
    </row>
    <row r="13">
      <c r="A13" s="6" t="inlineStr">
        <is>
          <t>Phase 1: Diagnostic</t>
        </is>
      </c>
      <c r="B13" s="7" t="n"/>
      <c r="C13" t="inlineStr">
        <is>
          <t>S1-4</t>
        </is>
      </c>
      <c r="D13" s="8">
        <f>IFERROR(COUNTIFS(Actions!D:D,"Phase 1",Actions!I:I,"✅ Terminé")/COUNTIF(Actions!D:D,"Phase 1"),0)</f>
        <v/>
      </c>
    </row>
    <row r="15">
      <c r="A15" s="9" t="inlineStr">
        <is>
          <t>Phase 2: Documentation</t>
        </is>
      </c>
      <c r="B15" s="10" t="n"/>
      <c r="C15" t="inlineStr">
        <is>
          <t>S5-8</t>
        </is>
      </c>
      <c r="D15" s="8">
        <f>IFERROR(COUNTIFS(Actions!D:D,"Phase 2",Actions!I:I,"✅ Terminé")/COUNTIF(Actions!D:D,"Phase 2"),0)</f>
        <v/>
      </c>
    </row>
    <row r="17">
      <c r="A17" s="11" t="inlineStr">
        <is>
          <t>Phase 3: Mise en conformité</t>
        </is>
      </c>
      <c r="B17" s="12" t="n"/>
      <c r="C17" t="inlineStr">
        <is>
          <t>S9-12</t>
        </is>
      </c>
      <c r="D17" s="8">
        <f>IFERROR(COUNTIFS(Actions!D:D,"Phase 3",Actions!I:I,"✅ Terminé")/COUNTIF(Actions!D:D,"Phase 3"),0)</f>
        <v/>
      </c>
    </row>
    <row r="20">
      <c r="A20" s="3" t="inlineStr">
        <is>
          <t>⚠️ ALERTES ET POINTS D'ATTENTION</t>
        </is>
      </c>
    </row>
    <row r="22">
      <c r="A22" s="2" t="inlineStr">
        <is>
          <t>🔴 Tâches critiques en retard :</t>
        </is>
      </c>
      <c r="E22" s="13">
        <f>COUNTIFS(Actions!E:E,"🔴 Critique",Actions!I:I,"&lt;&gt;✅ Terminé",Actions!G:G,"&lt;"&amp;TODAY())</f>
        <v/>
      </c>
    </row>
    <row r="23">
      <c r="A23" s="2" t="inlineStr">
        <is>
          <t>🟠 Tâches sans responsable :</t>
        </is>
      </c>
      <c r="E23" s="13">
        <f>COUNTBLANK(Actions!F4:F100)-COUNTBLANK(Actions!B4:B100)</f>
        <v/>
      </c>
    </row>
    <row r="24">
      <c r="A24" s="2" t="inlineStr">
        <is>
          <t>🟡 Échéances cette semaine :</t>
        </is>
      </c>
      <c r="E24" s="13">
        <f>COUNTIFS(Actions!G:G,"&gt;="&amp;TODAY(),Actions!G:G,"&lt;="&amp;TODAY()+7,Actions!I:I,"&lt;&gt;✅ Terminé")</f>
        <v/>
      </c>
    </row>
  </sheetData>
  <mergeCells count="8">
    <mergeCell ref="A20:L20"/>
    <mergeCell ref="D17:J17"/>
    <mergeCell ref="A11:L11"/>
    <mergeCell ref="A1:L1"/>
    <mergeCell ref="A5:L5"/>
    <mergeCell ref="C7:E9"/>
    <mergeCell ref="D15:J15"/>
    <mergeCell ref="D13:J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9"/>
  <sheetViews>
    <sheetView workbookViewId="0">
      <selection activeCell="A1" sqref="A1"/>
    </sheetView>
  </sheetViews>
  <sheetFormatPr baseColWidth="8" defaultRowHeight="15"/>
  <cols>
    <col width="10" customWidth="1" min="1" max="1"/>
    <col width="25" customWidth="1" min="2" max="2"/>
    <col width="30" customWidth="1" min="3" max="3"/>
    <col width="10" customWidth="1" min="4" max="4"/>
    <col width="12" customWidth="1" min="5" max="5"/>
    <col width="15" customWidth="1" min="6" max="6"/>
    <col width="12" customWidth="1" min="7" max="7"/>
    <col width="12" customWidth="1" min="8" max="8"/>
    <col width="12" customWidth="1" min="9" max="9"/>
    <col width="12" customWidth="1" min="10" max="10"/>
    <col width="18" customWidth="1" min="11" max="11"/>
    <col width="12" customWidth="1" min="12" max="12"/>
    <col width="15" customWidth="1" min="13" max="13"/>
    <col width="20" customWidth="1" min="14" max="14"/>
  </cols>
  <sheetData>
    <row r="1" ht="35" customHeight="1">
      <c r="A1" s="1" t="inlineStr">
        <is>
          <t>📋 SUIVI DÉTAILLÉ DES ACTIONS</t>
        </is>
      </c>
    </row>
    <row r="3">
      <c r="A3" s="14" t="inlineStr">
        <is>
          <t>ID</t>
        </is>
      </c>
      <c r="B3" s="14" t="inlineStr">
        <is>
          <t>Action</t>
        </is>
      </c>
      <c r="C3" s="14" t="inlineStr">
        <is>
          <t>Description</t>
        </is>
      </c>
      <c r="D3" s="14" t="inlineStr">
        <is>
          <t>Phase</t>
        </is>
      </c>
      <c r="E3" s="14" t="inlineStr">
        <is>
          <t>Priorité</t>
        </is>
      </c>
      <c r="F3" s="14" t="inlineStr">
        <is>
          <t>Responsable</t>
        </is>
      </c>
      <c r="G3" s="14" t="inlineStr">
        <is>
          <t>Échéance</t>
        </is>
      </c>
      <c r="H3" s="14" t="inlineStr">
        <is>
          <t>Date réelle</t>
        </is>
      </c>
      <c r="I3" s="14" t="inlineStr">
        <is>
          <t>Statut</t>
        </is>
      </c>
      <c r="J3" s="14" t="inlineStr">
        <is>
          <t>% Avancement</t>
        </is>
      </c>
      <c r="K3" s="14" t="inlineStr">
        <is>
          <t>Bloqueurs</t>
        </is>
      </c>
      <c r="L3" s="14" t="inlineStr">
        <is>
          <t>Dépendances</t>
        </is>
      </c>
      <c r="M3" s="14" t="inlineStr">
        <is>
          <t>Livrables</t>
        </is>
      </c>
      <c r="N3" s="14" t="inlineStr">
        <is>
          <t>Commentaires</t>
        </is>
      </c>
    </row>
    <row r="4">
      <c r="A4" s="15" t="inlineStr">
        <is>
          <t>ACT-001</t>
        </is>
      </c>
      <c r="B4" s="15" t="inlineStr">
        <is>
          <t>Inventaire systèmes IA</t>
        </is>
      </c>
      <c r="C4" s="15" t="inlineStr">
        <is>
          <t>Identifier tous les systèmes IA</t>
        </is>
      </c>
      <c r="D4" s="15" t="inlineStr">
        <is>
          <t>Phase 1</t>
        </is>
      </c>
      <c r="E4" s="15" t="inlineStr">
        <is>
          <t>🔴 Critique</t>
        </is>
      </c>
      <c r="F4" s="15" t="inlineStr"/>
      <c r="G4" s="15" t="inlineStr"/>
      <c r="H4" s="15" t="inlineStr"/>
      <c r="I4" s="15" t="inlineStr">
        <is>
          <t>📋 À faire</t>
        </is>
      </c>
      <c r="J4" s="15" t="inlineStr">
        <is>
          <t>0%</t>
        </is>
      </c>
      <c r="K4" s="15" t="inlineStr"/>
      <c r="L4" s="15" t="inlineStr"/>
      <c r="M4" s="15" t="inlineStr">
        <is>
          <t>Registre IA v1</t>
        </is>
      </c>
      <c r="N4" s="15" t="inlineStr"/>
    </row>
    <row r="5">
      <c r="A5" s="16" t="inlineStr">
        <is>
          <t>ACT-002</t>
        </is>
      </c>
      <c r="B5" s="16" t="inlineStr">
        <is>
          <t>Classification systèmes</t>
        </is>
      </c>
      <c r="C5" s="16" t="inlineStr">
        <is>
          <t>Classifier selon AI Act</t>
        </is>
      </c>
      <c r="D5" s="16" t="inlineStr">
        <is>
          <t>Phase 1</t>
        </is>
      </c>
      <c r="E5" s="16" t="inlineStr">
        <is>
          <t>🔴 Critique</t>
        </is>
      </c>
      <c r="F5" s="16" t="inlineStr"/>
      <c r="G5" s="16" t="inlineStr"/>
      <c r="H5" s="16" t="inlineStr"/>
      <c r="I5" s="16" t="inlineStr">
        <is>
          <t>📋 À faire</t>
        </is>
      </c>
      <c r="J5" s="16" t="inlineStr">
        <is>
          <t>0%</t>
        </is>
      </c>
      <c r="K5" s="16" t="inlineStr">
        <is>
          <t>ACT-001</t>
        </is>
      </c>
      <c r="L5" s="16" t="inlineStr"/>
      <c r="M5" s="16" t="inlineStr">
        <is>
          <t>Classifications</t>
        </is>
      </c>
      <c r="N5" s="16" t="inlineStr"/>
    </row>
    <row r="6">
      <c r="A6" s="15" t="inlineStr">
        <is>
          <t>ACT-003</t>
        </is>
      </c>
      <c r="B6" s="15" t="inlineStr">
        <is>
          <t>Identification haut risque</t>
        </is>
      </c>
      <c r="C6" s="15" t="inlineStr">
        <is>
          <t>Identifier systèmes HR</t>
        </is>
      </c>
      <c r="D6" s="15" t="inlineStr">
        <is>
          <t>Phase 1</t>
        </is>
      </c>
      <c r="E6" s="15" t="inlineStr">
        <is>
          <t>🔴 Critique</t>
        </is>
      </c>
      <c r="F6" s="15" t="inlineStr"/>
      <c r="G6" s="15" t="inlineStr"/>
      <c r="H6" s="15" t="inlineStr"/>
      <c r="I6" s="15" t="inlineStr">
        <is>
          <t>📋 À faire</t>
        </is>
      </c>
      <c r="J6" s="15" t="inlineStr">
        <is>
          <t>0%</t>
        </is>
      </c>
      <c r="K6" s="15" t="inlineStr">
        <is>
          <t>ACT-002</t>
        </is>
      </c>
      <c r="L6" s="15" t="inlineStr"/>
      <c r="M6" s="15" t="inlineStr">
        <is>
          <t>Liste HR</t>
        </is>
      </c>
      <c r="N6" s="15" t="inlineStr"/>
    </row>
    <row r="7">
      <c r="A7" s="16" t="inlineStr">
        <is>
          <t>ACT-004</t>
        </is>
      </c>
      <c r="B7" s="16" t="inlineStr">
        <is>
          <t>Contact fournisseurs</t>
        </is>
      </c>
      <c r="C7" s="16" t="inlineStr">
        <is>
          <t>Demander documentation</t>
        </is>
      </c>
      <c r="D7" s="16" t="inlineStr">
        <is>
          <t>Phase 1</t>
        </is>
      </c>
      <c r="E7" s="16" t="inlineStr">
        <is>
          <t>🟠 Haute</t>
        </is>
      </c>
      <c r="F7" s="16" t="inlineStr"/>
      <c r="G7" s="16" t="inlineStr"/>
      <c r="H7" s="16" t="inlineStr"/>
      <c r="I7" s="16" t="inlineStr">
        <is>
          <t>📋 À faire</t>
        </is>
      </c>
      <c r="J7" s="16" t="inlineStr">
        <is>
          <t>0%</t>
        </is>
      </c>
      <c r="K7" s="16" t="inlineStr"/>
      <c r="L7" s="16" t="inlineStr"/>
      <c r="M7" s="16" t="inlineStr">
        <is>
          <t>Docs</t>
        </is>
      </c>
      <c r="N7" s="16" t="inlineStr"/>
    </row>
    <row r="8">
      <c r="A8" s="15" t="inlineStr">
        <is>
          <t>ACT-005</t>
        </is>
      </c>
      <c r="B8" s="15" t="inlineStr">
        <is>
          <t>Nomination responsables</t>
        </is>
      </c>
      <c r="C8" s="15" t="inlineStr">
        <is>
          <t>Désigner responsables</t>
        </is>
      </c>
      <c r="D8" s="15" t="inlineStr">
        <is>
          <t>Phase 1</t>
        </is>
      </c>
      <c r="E8" s="15" t="inlineStr">
        <is>
          <t>🟠 Haute</t>
        </is>
      </c>
      <c r="F8" s="15" t="inlineStr"/>
      <c r="G8" s="15" t="inlineStr"/>
      <c r="H8" s="15" t="inlineStr"/>
      <c r="I8" s="15" t="inlineStr">
        <is>
          <t>📋 À faire</t>
        </is>
      </c>
      <c r="J8" s="15" t="inlineStr">
        <is>
          <t>0%</t>
        </is>
      </c>
      <c r="K8" s="15" t="inlineStr"/>
      <c r="L8" s="15" t="inlineStr"/>
      <c r="M8" s="15" t="inlineStr">
        <is>
          <t>Liste resp.</t>
        </is>
      </c>
      <c r="N8" s="15" t="inlineStr"/>
    </row>
    <row r="9">
      <c r="A9" s="16" t="inlineStr">
        <is>
          <t>ACT-006</t>
        </is>
      </c>
      <c r="B9" s="16" t="inlineStr">
        <is>
          <t>Rédaction politique IA</t>
        </is>
      </c>
      <c r="C9" s="16" t="inlineStr">
        <is>
          <t>Rédiger politique IA</t>
        </is>
      </c>
      <c r="D9" s="16" t="inlineStr">
        <is>
          <t>Phase 2</t>
        </is>
      </c>
      <c r="E9" s="16" t="inlineStr">
        <is>
          <t>🔴 Critique</t>
        </is>
      </c>
      <c r="F9" s="16" t="inlineStr"/>
      <c r="G9" s="16" t="inlineStr"/>
      <c r="H9" s="16" t="inlineStr"/>
      <c r="I9" s="16" t="inlineStr">
        <is>
          <t>📋 À faire</t>
        </is>
      </c>
      <c r="J9" s="16" t="inlineStr">
        <is>
          <t>0%</t>
        </is>
      </c>
      <c r="K9" s="16" t="inlineStr"/>
      <c r="L9" s="16" t="inlineStr"/>
      <c r="M9" s="16" t="inlineStr">
        <is>
          <t>Politique v1</t>
        </is>
      </c>
      <c r="N9" s="16" t="inlineStr"/>
    </row>
    <row r="10">
      <c r="A10" s="15" t="inlineStr">
        <is>
          <t>ACT-007</t>
        </is>
      </c>
      <c r="B10" s="15" t="inlineStr">
        <is>
          <t>Plan formation</t>
        </is>
      </c>
      <c r="C10" s="15" t="inlineStr">
        <is>
          <t>Établir plan formation</t>
        </is>
      </c>
      <c r="D10" s="15" t="inlineStr">
        <is>
          <t>Phase 2</t>
        </is>
      </c>
      <c r="E10" s="15" t="inlineStr">
        <is>
          <t>🔴 Critique</t>
        </is>
      </c>
      <c r="F10" s="15" t="inlineStr"/>
      <c r="G10" s="15" t="inlineStr"/>
      <c r="H10" s="15" t="inlineStr"/>
      <c r="I10" s="15" t="inlineStr">
        <is>
          <t>📋 À faire</t>
        </is>
      </c>
      <c r="J10" s="15" t="inlineStr">
        <is>
          <t>0%</t>
        </is>
      </c>
      <c r="K10" s="15" t="inlineStr"/>
      <c r="L10" s="15" t="inlineStr"/>
      <c r="M10" s="15" t="inlineStr">
        <is>
          <t>Plan</t>
        </is>
      </c>
      <c r="N10" s="15" t="inlineStr"/>
    </row>
    <row r="11">
      <c r="A11" s="16" t="inlineStr">
        <is>
          <t>ACT-008</t>
        </is>
      </c>
      <c r="B11" s="16" t="inlineStr">
        <is>
          <t>Formations opérateurs</t>
        </is>
      </c>
      <c r="C11" s="16" t="inlineStr">
        <is>
          <t>Former opérateurs</t>
        </is>
      </c>
      <c r="D11" s="16" t="inlineStr">
        <is>
          <t>Phase 2</t>
        </is>
      </c>
      <c r="E11" s="16" t="inlineStr">
        <is>
          <t>🔴 Critique</t>
        </is>
      </c>
      <c r="F11" s="16" t="inlineStr"/>
      <c r="G11" s="16" t="inlineStr"/>
      <c r="H11" s="16" t="inlineStr"/>
      <c r="I11" s="16" t="inlineStr">
        <is>
          <t>📋 À faire</t>
        </is>
      </c>
      <c r="J11" s="16" t="inlineStr">
        <is>
          <t>0%</t>
        </is>
      </c>
      <c r="K11" s="16" t="inlineStr">
        <is>
          <t>ACT-007</t>
        </is>
      </c>
      <c r="L11" s="16" t="inlineStr"/>
      <c r="M11" s="16" t="inlineStr">
        <is>
          <t>Attestations</t>
        </is>
      </c>
      <c r="N11" s="16" t="inlineStr"/>
    </row>
    <row r="12">
      <c r="A12" s="15" t="inlineStr">
        <is>
          <t>ACT-009</t>
        </is>
      </c>
      <c r="B12" s="15" t="inlineStr">
        <is>
          <t>Mentions transparence</t>
        </is>
      </c>
      <c r="C12" s="15" t="inlineStr">
        <is>
          <t>Implémenter mentions</t>
        </is>
      </c>
      <c r="D12" s="15" t="inlineStr">
        <is>
          <t>Phase 2</t>
        </is>
      </c>
      <c r="E12" s="15" t="inlineStr">
        <is>
          <t>🟠 Haute</t>
        </is>
      </c>
      <c r="F12" s="15" t="inlineStr"/>
      <c r="G12" s="15" t="inlineStr"/>
      <c r="H12" s="15" t="inlineStr"/>
      <c r="I12" s="15" t="inlineStr">
        <is>
          <t>📋 À faire</t>
        </is>
      </c>
      <c r="J12" s="15" t="inlineStr">
        <is>
          <t>0%</t>
        </is>
      </c>
      <c r="K12" s="15" t="inlineStr"/>
      <c r="L12" s="15" t="inlineStr"/>
      <c r="M12" s="15" t="inlineStr">
        <is>
          <t>Mentions</t>
        </is>
      </c>
      <c r="N12" s="15" t="inlineStr"/>
    </row>
    <row r="13">
      <c r="A13" s="16" t="inlineStr">
        <is>
          <t>ACT-010</t>
        </is>
      </c>
      <c r="B13" s="16" t="inlineStr">
        <is>
          <t>AIPD systèmes HR</t>
        </is>
      </c>
      <c r="C13" s="16" t="inlineStr">
        <is>
          <t>Réaliser AIPD</t>
        </is>
      </c>
      <c r="D13" s="16" t="inlineStr">
        <is>
          <t>Phase 2</t>
        </is>
      </c>
      <c r="E13" s="16" t="inlineStr">
        <is>
          <t>🔴 Critique</t>
        </is>
      </c>
      <c r="F13" s="16" t="inlineStr"/>
      <c r="G13" s="16" t="inlineStr"/>
      <c r="H13" s="16" t="inlineStr"/>
      <c r="I13" s="16" t="inlineStr">
        <is>
          <t>📋 À faire</t>
        </is>
      </c>
      <c r="J13" s="16" t="inlineStr">
        <is>
          <t>0%</t>
        </is>
      </c>
      <c r="K13" s="16" t="inlineStr">
        <is>
          <t>ACT-003</t>
        </is>
      </c>
      <c r="L13" s="16" t="inlineStr"/>
      <c r="M13" s="16" t="inlineStr">
        <is>
          <t>AIPD</t>
        </is>
      </c>
      <c r="N13" s="16" t="inlineStr"/>
    </row>
    <row r="14">
      <c r="A14" s="15" t="inlineStr">
        <is>
          <t>ACT-011</t>
        </is>
      </c>
      <c r="B14" s="15" t="inlineStr">
        <is>
          <t>Supervision humaine</t>
        </is>
      </c>
      <c r="C14" s="15" t="inlineStr">
        <is>
          <t>Mettre en place supervision</t>
        </is>
      </c>
      <c r="D14" s="15" t="inlineStr">
        <is>
          <t>Phase 3</t>
        </is>
      </c>
      <c r="E14" s="15" t="inlineStr">
        <is>
          <t>🔴 Critique</t>
        </is>
      </c>
      <c r="F14" s="15" t="inlineStr"/>
      <c r="G14" s="15" t="inlineStr"/>
      <c r="H14" s="15" t="inlineStr"/>
      <c r="I14" s="15" t="inlineStr">
        <is>
          <t>📋 À faire</t>
        </is>
      </c>
      <c r="J14" s="15" t="inlineStr">
        <is>
          <t>0%</t>
        </is>
      </c>
      <c r="K14" s="15" t="inlineStr"/>
      <c r="L14" s="15" t="inlineStr"/>
      <c r="M14" s="15" t="inlineStr">
        <is>
          <t>Procédures</t>
        </is>
      </c>
      <c r="N14" s="15" t="inlineStr"/>
    </row>
    <row r="15">
      <c r="A15" s="16" t="inlineStr">
        <is>
          <t>ACT-012</t>
        </is>
      </c>
      <c r="B15" s="16" t="inlineStr">
        <is>
          <t>Journalisation</t>
        </is>
      </c>
      <c r="C15" s="16" t="inlineStr">
        <is>
          <t>Configurer logs</t>
        </is>
      </c>
      <c r="D15" s="16" t="inlineStr">
        <is>
          <t>Phase 3</t>
        </is>
      </c>
      <c r="E15" s="16" t="inlineStr">
        <is>
          <t>🟠 Haute</t>
        </is>
      </c>
      <c r="F15" s="16" t="inlineStr"/>
      <c r="G15" s="16" t="inlineStr"/>
      <c r="H15" s="16" t="inlineStr"/>
      <c r="I15" s="16" t="inlineStr">
        <is>
          <t>📋 À faire</t>
        </is>
      </c>
      <c r="J15" s="16" t="inlineStr">
        <is>
          <t>0%</t>
        </is>
      </c>
      <c r="K15" s="16" t="inlineStr"/>
      <c r="L15" s="16" t="inlineStr"/>
      <c r="M15" s="16" t="inlineStr">
        <is>
          <t>Logs</t>
        </is>
      </c>
      <c r="N15" s="16" t="inlineStr"/>
    </row>
    <row r="16">
      <c r="A16" s="15" t="inlineStr">
        <is>
          <t>ACT-013</t>
        </is>
      </c>
      <c r="B16" s="15" t="inlineStr">
        <is>
          <t>Validation DPO</t>
        </is>
      </c>
      <c r="C16" s="15" t="inlineStr">
        <is>
          <t>Revue DPO</t>
        </is>
      </c>
      <c r="D16" s="15" t="inlineStr">
        <is>
          <t>Phase 3</t>
        </is>
      </c>
      <c r="E16" s="15" t="inlineStr">
        <is>
          <t>🔴 Critique</t>
        </is>
      </c>
      <c r="F16" s="15" t="inlineStr"/>
      <c r="G16" s="15" t="inlineStr"/>
      <c r="H16" s="15" t="inlineStr"/>
      <c r="I16" s="15" t="inlineStr">
        <is>
          <t>📋 À faire</t>
        </is>
      </c>
      <c r="J16" s="15" t="inlineStr">
        <is>
          <t>0%</t>
        </is>
      </c>
      <c r="K16" s="15" t="inlineStr"/>
      <c r="L16" s="15" t="inlineStr"/>
      <c r="M16" s="15" t="inlineStr">
        <is>
          <t>Validation</t>
        </is>
      </c>
      <c r="N16" s="15" t="inlineStr"/>
    </row>
    <row r="17">
      <c r="A17" s="16" t="inlineStr">
        <is>
          <t>ACT-014</t>
        </is>
      </c>
      <c r="B17" s="16" t="inlineStr">
        <is>
          <t>Audit interne</t>
        </is>
      </c>
      <c r="C17" s="16" t="inlineStr">
        <is>
          <t>Audit conformité</t>
        </is>
      </c>
      <c r="D17" s="16" t="inlineStr">
        <is>
          <t>Phase 3</t>
        </is>
      </c>
      <c r="E17" s="16" t="inlineStr">
        <is>
          <t>🟡 Moyenne</t>
        </is>
      </c>
      <c r="F17" s="16" t="inlineStr"/>
      <c r="G17" s="16" t="inlineStr"/>
      <c r="H17" s="16" t="inlineStr"/>
      <c r="I17" s="16" t="inlineStr">
        <is>
          <t>📋 À faire</t>
        </is>
      </c>
      <c r="J17" s="16" t="inlineStr">
        <is>
          <t>0%</t>
        </is>
      </c>
      <c r="K17" s="16" t="inlineStr"/>
      <c r="L17" s="16" t="inlineStr"/>
      <c r="M17" s="16" t="inlineStr">
        <is>
          <t>Rapport</t>
        </is>
      </c>
      <c r="N17" s="16" t="inlineStr"/>
    </row>
    <row r="18">
      <c r="A18" s="15" t="inlineStr">
        <is>
          <t>ACT-015</t>
        </is>
      </c>
      <c r="B18" s="15" t="inlineStr">
        <is>
          <t>Plan correctif</t>
        </is>
      </c>
      <c r="C18" s="15" t="inlineStr">
        <is>
          <t>Actions correctives</t>
        </is>
      </c>
      <c r="D18" s="15" t="inlineStr">
        <is>
          <t>Phase 3</t>
        </is>
      </c>
      <c r="E18" s="15" t="inlineStr">
        <is>
          <t>🟠 Haute</t>
        </is>
      </c>
      <c r="F18" s="15" t="inlineStr"/>
      <c r="G18" s="15" t="inlineStr"/>
      <c r="H18" s="15" t="inlineStr"/>
      <c r="I18" s="15" t="inlineStr">
        <is>
          <t>📋 À faire</t>
        </is>
      </c>
      <c r="J18" s="15" t="inlineStr">
        <is>
          <t>0%</t>
        </is>
      </c>
      <c r="K18" s="15" t="inlineStr">
        <is>
          <t>ACT-014</t>
        </is>
      </c>
      <c r="L18" s="15" t="inlineStr"/>
      <c r="M18" s="15" t="inlineStr">
        <is>
          <t>Plan</t>
        </is>
      </c>
      <c r="N18" s="15" t="inlineStr"/>
    </row>
    <row r="19">
      <c r="A19" s="16" t="inlineStr">
        <is>
          <t>ACT-016</t>
        </is>
      </c>
      <c r="B19" s="16" t="inlineStr">
        <is>
          <t>Dossier conformité</t>
        </is>
      </c>
      <c r="C19" s="16" t="inlineStr">
        <is>
          <t>Constituer dossier</t>
        </is>
      </c>
      <c r="D19" s="16" t="inlineStr">
        <is>
          <t>Phase 3</t>
        </is>
      </c>
      <c r="E19" s="16" t="inlineStr">
        <is>
          <t>🔴 Critique</t>
        </is>
      </c>
      <c r="F19" s="16" t="inlineStr"/>
      <c r="G19" s="16" t="inlineStr"/>
      <c r="H19" s="16" t="inlineStr"/>
      <c r="I19" s="16" t="inlineStr">
        <is>
          <t>📋 À faire</t>
        </is>
      </c>
      <c r="J19" s="16" t="inlineStr">
        <is>
          <t>0%</t>
        </is>
      </c>
      <c r="K19" s="16" t="inlineStr"/>
      <c r="L19" s="16" t="inlineStr"/>
      <c r="M19" s="16" t="inlineStr">
        <is>
          <t>Dossier</t>
        </is>
      </c>
      <c r="N19" s="16" t="inlineStr"/>
    </row>
    <row r="20">
      <c r="A20" s="15" t="inlineStr">
        <is>
          <t>ACT-017</t>
        </is>
      </c>
      <c r="B20" s="15" t="n"/>
      <c r="C20" s="15" t="n"/>
      <c r="D20" s="15" t="n"/>
      <c r="E20" s="15" t="n"/>
      <c r="F20" s="15" t="n"/>
      <c r="G20" s="15" t="n"/>
      <c r="H20" s="15" t="n"/>
      <c r="I20" s="15" t="n"/>
      <c r="J20" s="15" t="n"/>
      <c r="K20" s="15" t="n"/>
      <c r="L20" s="15" t="n"/>
      <c r="M20" s="15" t="n"/>
      <c r="N20" s="15" t="n"/>
    </row>
    <row r="21">
      <c r="A21" s="16" t="inlineStr">
        <is>
          <t>ACT-018</t>
        </is>
      </c>
      <c r="B21" s="16" t="n"/>
      <c r="C21" s="16" t="n"/>
      <c r="D21" s="16" t="n"/>
      <c r="E21" s="16" t="n"/>
      <c r="F21" s="16" t="n"/>
      <c r="G21" s="16" t="n"/>
      <c r="H21" s="16" t="n"/>
      <c r="I21" s="16" t="n"/>
      <c r="J21" s="16" t="n"/>
      <c r="K21" s="16" t="n"/>
      <c r="L21" s="16" t="n"/>
      <c r="M21" s="16" t="n"/>
      <c r="N21" s="16" t="n"/>
    </row>
    <row r="22">
      <c r="A22" s="15" t="inlineStr">
        <is>
          <t>ACT-019</t>
        </is>
      </c>
      <c r="B22" s="15" t="n"/>
      <c r="C22" s="15" t="n"/>
      <c r="D22" s="15" t="n"/>
      <c r="E22" s="15" t="n"/>
      <c r="F22" s="15" t="n"/>
      <c r="G22" s="15" t="n"/>
      <c r="H22" s="15" t="n"/>
      <c r="I22" s="15" t="n"/>
      <c r="J22" s="15" t="n"/>
      <c r="K22" s="15" t="n"/>
      <c r="L22" s="15" t="n"/>
      <c r="M22" s="15" t="n"/>
      <c r="N22" s="15" t="n"/>
    </row>
    <row r="23">
      <c r="A23" s="16" t="inlineStr">
        <is>
          <t>ACT-020</t>
        </is>
      </c>
      <c r="B23" s="16" t="n"/>
      <c r="C23" s="16" t="n"/>
      <c r="D23" s="16" t="n"/>
      <c r="E23" s="16" t="n"/>
      <c r="F23" s="16" t="n"/>
      <c r="G23" s="16" t="n"/>
      <c r="H23" s="16" t="n"/>
      <c r="I23" s="16" t="n"/>
      <c r="J23" s="16" t="n"/>
      <c r="K23" s="16" t="n"/>
      <c r="L23" s="16" t="n"/>
      <c r="M23" s="16" t="n"/>
      <c r="N23" s="16" t="n"/>
    </row>
    <row r="24">
      <c r="A24" s="15" t="inlineStr">
        <is>
          <t>ACT-021</t>
        </is>
      </c>
      <c r="B24" s="15" t="n"/>
      <c r="C24" s="15" t="n"/>
      <c r="D24" s="15" t="n"/>
      <c r="E24" s="15" t="n"/>
      <c r="F24" s="15" t="n"/>
      <c r="G24" s="15" t="n"/>
      <c r="H24" s="15" t="n"/>
      <c r="I24" s="15" t="n"/>
      <c r="J24" s="15" t="n"/>
      <c r="K24" s="15" t="n"/>
      <c r="L24" s="15" t="n"/>
      <c r="M24" s="15" t="n"/>
      <c r="N24" s="15" t="n"/>
    </row>
    <row r="25">
      <c r="A25" s="16" t="inlineStr">
        <is>
          <t>ACT-022</t>
        </is>
      </c>
      <c r="B25" s="16" t="n"/>
      <c r="C25" s="16" t="n"/>
      <c r="D25" s="16" t="n"/>
      <c r="E25" s="16" t="n"/>
      <c r="F25" s="16" t="n"/>
      <c r="G25" s="16" t="n"/>
      <c r="H25" s="16" t="n"/>
      <c r="I25" s="16" t="n"/>
      <c r="J25" s="16" t="n"/>
      <c r="K25" s="16" t="n"/>
      <c r="L25" s="16" t="n"/>
      <c r="M25" s="16" t="n"/>
      <c r="N25" s="16" t="n"/>
    </row>
    <row r="26">
      <c r="A26" s="15" t="inlineStr">
        <is>
          <t>ACT-023</t>
        </is>
      </c>
      <c r="B26" s="15" t="n"/>
      <c r="C26" s="15" t="n"/>
      <c r="D26" s="15" t="n"/>
      <c r="E26" s="15" t="n"/>
      <c r="F26" s="15" t="n"/>
      <c r="G26" s="15" t="n"/>
      <c r="H26" s="15" t="n"/>
      <c r="I26" s="15" t="n"/>
      <c r="J26" s="15" t="n"/>
      <c r="K26" s="15" t="n"/>
      <c r="L26" s="15" t="n"/>
      <c r="M26" s="15" t="n"/>
      <c r="N26" s="15" t="n"/>
    </row>
    <row r="27">
      <c r="A27" s="16" t="inlineStr">
        <is>
          <t>ACT-024</t>
        </is>
      </c>
      <c r="B27" s="16" t="n"/>
      <c r="C27" s="16" t="n"/>
      <c r="D27" s="16" t="n"/>
      <c r="E27" s="16" t="n"/>
      <c r="F27" s="16" t="n"/>
      <c r="G27" s="16" t="n"/>
      <c r="H27" s="16" t="n"/>
      <c r="I27" s="16" t="n"/>
      <c r="J27" s="16" t="n"/>
      <c r="K27" s="16" t="n"/>
      <c r="L27" s="16" t="n"/>
      <c r="M27" s="16" t="n"/>
      <c r="N27" s="16" t="n"/>
    </row>
    <row r="28">
      <c r="A28" s="15" t="inlineStr">
        <is>
          <t>ACT-025</t>
        </is>
      </c>
      <c r="B28" s="15" t="n"/>
      <c r="C28" s="15" t="n"/>
      <c r="D28" s="15" t="n"/>
      <c r="E28" s="15" t="n"/>
      <c r="F28" s="15" t="n"/>
      <c r="G28" s="15" t="n"/>
      <c r="H28" s="15" t="n"/>
      <c r="I28" s="15" t="n"/>
      <c r="J28" s="15" t="n"/>
      <c r="K28" s="15" t="n"/>
      <c r="L28" s="15" t="n"/>
      <c r="M28" s="15" t="n"/>
      <c r="N28" s="15" t="n"/>
    </row>
    <row r="29">
      <c r="A29" s="16" t="inlineStr">
        <is>
          <t>ACT-026</t>
        </is>
      </c>
      <c r="B29" s="16" t="n"/>
      <c r="C29" s="16" t="n"/>
      <c r="D29" s="16" t="n"/>
      <c r="E29" s="16" t="n"/>
      <c r="F29" s="16" t="n"/>
      <c r="G29" s="16" t="n"/>
      <c r="H29" s="16" t="n"/>
      <c r="I29" s="16" t="n"/>
      <c r="J29" s="16" t="n"/>
      <c r="K29" s="16" t="n"/>
      <c r="L29" s="16" t="n"/>
      <c r="M29" s="16" t="n"/>
      <c r="N29" s="16" t="n"/>
    </row>
    <row r="30">
      <c r="A30" s="15" t="inlineStr">
        <is>
          <t>ACT-027</t>
        </is>
      </c>
      <c r="B30" s="15" t="n"/>
      <c r="C30" s="15" t="n"/>
      <c r="D30" s="15" t="n"/>
      <c r="E30" s="15" t="n"/>
      <c r="F30" s="15" t="n"/>
      <c r="G30" s="15" t="n"/>
      <c r="H30" s="15" t="n"/>
      <c r="I30" s="15" t="n"/>
      <c r="J30" s="15" t="n"/>
      <c r="K30" s="15" t="n"/>
      <c r="L30" s="15" t="n"/>
      <c r="M30" s="15" t="n"/>
      <c r="N30" s="15" t="n"/>
    </row>
    <row r="31">
      <c r="A31" s="16" t="inlineStr">
        <is>
          <t>ACT-028</t>
        </is>
      </c>
      <c r="B31" s="16" t="n"/>
      <c r="C31" s="16" t="n"/>
      <c r="D31" s="16" t="n"/>
      <c r="E31" s="16" t="n"/>
      <c r="F31" s="16" t="n"/>
      <c r="G31" s="16" t="n"/>
      <c r="H31" s="16" t="n"/>
      <c r="I31" s="16" t="n"/>
      <c r="J31" s="16" t="n"/>
      <c r="K31" s="16" t="n"/>
      <c r="L31" s="16" t="n"/>
      <c r="M31" s="16" t="n"/>
      <c r="N31" s="16" t="n"/>
    </row>
    <row r="32">
      <c r="A32" s="15" t="inlineStr">
        <is>
          <t>ACT-029</t>
        </is>
      </c>
      <c r="B32" s="15" t="n"/>
      <c r="C32" s="15" t="n"/>
      <c r="D32" s="15" t="n"/>
      <c r="E32" s="15" t="n"/>
      <c r="F32" s="15" t="n"/>
      <c r="G32" s="15" t="n"/>
      <c r="H32" s="15" t="n"/>
      <c r="I32" s="15" t="n"/>
      <c r="J32" s="15" t="n"/>
      <c r="K32" s="15" t="n"/>
      <c r="L32" s="15" t="n"/>
      <c r="M32" s="15" t="n"/>
      <c r="N32" s="15" t="n"/>
    </row>
    <row r="33">
      <c r="A33" s="16" t="inlineStr">
        <is>
          <t>ACT-030</t>
        </is>
      </c>
      <c r="B33" s="16" t="n"/>
      <c r="C33" s="16" t="n"/>
      <c r="D33" s="16" t="n"/>
      <c r="E33" s="16" t="n"/>
      <c r="F33" s="16" t="n"/>
      <c r="G33" s="16" t="n"/>
      <c r="H33" s="16" t="n"/>
      <c r="I33" s="16" t="n"/>
      <c r="J33" s="16" t="n"/>
      <c r="K33" s="16" t="n"/>
      <c r="L33" s="16" t="n"/>
      <c r="M33" s="16" t="n"/>
      <c r="N33" s="16" t="n"/>
    </row>
    <row r="34">
      <c r="A34" s="15" t="inlineStr">
        <is>
          <t>ACT-031</t>
        </is>
      </c>
      <c r="B34" s="15" t="n"/>
      <c r="C34" s="15" t="n"/>
      <c r="D34" s="15" t="n"/>
      <c r="E34" s="15" t="n"/>
      <c r="F34" s="15" t="n"/>
      <c r="G34" s="15" t="n"/>
      <c r="H34" s="15" t="n"/>
      <c r="I34" s="15" t="n"/>
      <c r="J34" s="15" t="n"/>
      <c r="K34" s="15" t="n"/>
      <c r="L34" s="15" t="n"/>
      <c r="M34" s="15" t="n"/>
      <c r="N34" s="15" t="n"/>
    </row>
    <row r="35">
      <c r="A35" s="16" t="inlineStr">
        <is>
          <t>ACT-032</t>
        </is>
      </c>
      <c r="B35" s="16" t="n"/>
      <c r="C35" s="16" t="n"/>
      <c r="D35" s="16" t="n"/>
      <c r="E35" s="16" t="n"/>
      <c r="F35" s="16" t="n"/>
      <c r="G35" s="16" t="n"/>
      <c r="H35" s="16" t="n"/>
      <c r="I35" s="16" t="n"/>
      <c r="J35" s="16" t="n"/>
      <c r="K35" s="16" t="n"/>
      <c r="L35" s="16" t="n"/>
      <c r="M35" s="16" t="n"/>
      <c r="N35" s="16" t="n"/>
    </row>
    <row r="36">
      <c r="A36" s="15" t="inlineStr">
        <is>
          <t>ACT-033</t>
        </is>
      </c>
      <c r="B36" s="15" t="n"/>
      <c r="C36" s="15" t="n"/>
      <c r="D36" s="15" t="n"/>
      <c r="E36" s="15" t="n"/>
      <c r="F36" s="15" t="n"/>
      <c r="G36" s="15" t="n"/>
      <c r="H36" s="15" t="n"/>
      <c r="I36" s="15" t="n"/>
      <c r="J36" s="15" t="n"/>
      <c r="K36" s="15" t="n"/>
      <c r="L36" s="15" t="n"/>
      <c r="M36" s="15" t="n"/>
      <c r="N36" s="15" t="n"/>
    </row>
    <row r="37">
      <c r="A37" s="16" t="inlineStr">
        <is>
          <t>ACT-034</t>
        </is>
      </c>
      <c r="B37" s="16" t="n"/>
      <c r="C37" s="16" t="n"/>
      <c r="D37" s="16" t="n"/>
      <c r="E37" s="16" t="n"/>
      <c r="F37" s="16" t="n"/>
      <c r="G37" s="16" t="n"/>
      <c r="H37" s="16" t="n"/>
      <c r="I37" s="16" t="n"/>
      <c r="J37" s="16" t="n"/>
      <c r="K37" s="16" t="n"/>
      <c r="L37" s="16" t="n"/>
      <c r="M37" s="16" t="n"/>
      <c r="N37" s="16" t="n"/>
    </row>
    <row r="38">
      <c r="A38" s="15" t="inlineStr">
        <is>
          <t>ACT-035</t>
        </is>
      </c>
      <c r="B38" s="15" t="n"/>
      <c r="C38" s="15" t="n"/>
      <c r="D38" s="15" t="n"/>
      <c r="E38" s="15" t="n"/>
      <c r="F38" s="15" t="n"/>
      <c r="G38" s="15" t="n"/>
      <c r="H38" s="15" t="n"/>
      <c r="I38" s="15" t="n"/>
      <c r="J38" s="15" t="n"/>
      <c r="K38" s="15" t="n"/>
      <c r="L38" s="15" t="n"/>
      <c r="M38" s="15" t="n"/>
      <c r="N38" s="15" t="n"/>
    </row>
    <row r="39">
      <c r="A39" s="16" t="inlineStr">
        <is>
          <t>ACT-036</t>
        </is>
      </c>
      <c r="B39" s="16" t="n"/>
      <c r="C39" s="16" t="n"/>
      <c r="D39" s="16" t="n"/>
      <c r="E39" s="16" t="n"/>
      <c r="F39" s="16" t="n"/>
      <c r="G39" s="16" t="n"/>
      <c r="H39" s="16" t="n"/>
      <c r="I39" s="16" t="n"/>
      <c r="J39" s="16" t="n"/>
      <c r="K39" s="16" t="n"/>
      <c r="L39" s="16" t="n"/>
      <c r="M39" s="16" t="n"/>
      <c r="N39" s="16" t="n"/>
    </row>
    <row r="40">
      <c r="A40" s="15" t="inlineStr">
        <is>
          <t>ACT-037</t>
        </is>
      </c>
      <c r="B40" s="15" t="n"/>
      <c r="C40" s="15" t="n"/>
      <c r="D40" s="15" t="n"/>
      <c r="E40" s="15" t="n"/>
      <c r="F40" s="15" t="n"/>
      <c r="G40" s="15" t="n"/>
      <c r="H40" s="15" t="n"/>
      <c r="I40" s="15" t="n"/>
      <c r="J40" s="15" t="n"/>
      <c r="K40" s="15" t="n"/>
      <c r="L40" s="15" t="n"/>
      <c r="M40" s="15" t="n"/>
      <c r="N40" s="15" t="n"/>
    </row>
    <row r="41">
      <c r="A41" s="16" t="inlineStr">
        <is>
          <t>ACT-038</t>
        </is>
      </c>
      <c r="B41" s="16" t="n"/>
      <c r="C41" s="16" t="n"/>
      <c r="D41" s="16" t="n"/>
      <c r="E41" s="16" t="n"/>
      <c r="F41" s="16" t="n"/>
      <c r="G41" s="16" t="n"/>
      <c r="H41" s="16" t="n"/>
      <c r="I41" s="16" t="n"/>
      <c r="J41" s="16" t="n"/>
      <c r="K41" s="16" t="n"/>
      <c r="L41" s="16" t="n"/>
      <c r="M41" s="16" t="n"/>
      <c r="N41" s="16" t="n"/>
    </row>
    <row r="42">
      <c r="A42" s="15" t="inlineStr">
        <is>
          <t>ACT-039</t>
        </is>
      </c>
      <c r="B42" s="15" t="n"/>
      <c r="C42" s="15" t="n"/>
      <c r="D42" s="15" t="n"/>
      <c r="E42" s="15" t="n"/>
      <c r="F42" s="15" t="n"/>
      <c r="G42" s="15" t="n"/>
      <c r="H42" s="15" t="n"/>
      <c r="I42" s="15" t="n"/>
      <c r="J42" s="15" t="n"/>
      <c r="K42" s="15" t="n"/>
      <c r="L42" s="15" t="n"/>
      <c r="M42" s="15" t="n"/>
      <c r="N42" s="15" t="n"/>
    </row>
    <row r="43">
      <c r="A43" s="16" t="inlineStr">
        <is>
          <t>ACT-040</t>
        </is>
      </c>
      <c r="B43" s="16" t="n"/>
      <c r="C43" s="16" t="n"/>
      <c r="D43" s="16" t="n"/>
      <c r="E43" s="16" t="n"/>
      <c r="F43" s="16" t="n"/>
      <c r="G43" s="16" t="n"/>
      <c r="H43" s="16" t="n"/>
      <c r="I43" s="16" t="n"/>
      <c r="J43" s="16" t="n"/>
      <c r="K43" s="16" t="n"/>
      <c r="L43" s="16" t="n"/>
      <c r="M43" s="16" t="n"/>
      <c r="N43" s="16" t="n"/>
    </row>
    <row r="44">
      <c r="A44" s="15" t="inlineStr">
        <is>
          <t>ACT-041</t>
        </is>
      </c>
      <c r="B44" s="15" t="n"/>
      <c r="C44" s="15" t="n"/>
      <c r="D44" s="15" t="n"/>
      <c r="E44" s="15" t="n"/>
      <c r="F44" s="15" t="n"/>
      <c r="G44" s="15" t="n"/>
      <c r="H44" s="15" t="n"/>
      <c r="I44" s="15" t="n"/>
      <c r="J44" s="15" t="n"/>
      <c r="K44" s="15" t="n"/>
      <c r="L44" s="15" t="n"/>
      <c r="M44" s="15" t="n"/>
      <c r="N44" s="15" t="n"/>
    </row>
    <row r="45">
      <c r="A45" s="16" t="inlineStr">
        <is>
          <t>ACT-042</t>
        </is>
      </c>
      <c r="B45" s="16" t="n"/>
      <c r="C45" s="16" t="n"/>
      <c r="D45" s="16" t="n"/>
      <c r="E45" s="16" t="n"/>
      <c r="F45" s="16" t="n"/>
      <c r="G45" s="16" t="n"/>
      <c r="H45" s="16" t="n"/>
      <c r="I45" s="16" t="n"/>
      <c r="J45" s="16" t="n"/>
      <c r="K45" s="16" t="n"/>
      <c r="L45" s="16" t="n"/>
      <c r="M45" s="16" t="n"/>
      <c r="N45" s="16" t="n"/>
    </row>
    <row r="46">
      <c r="A46" s="15" t="inlineStr">
        <is>
          <t>ACT-043</t>
        </is>
      </c>
      <c r="B46" s="15" t="n"/>
      <c r="C46" s="15" t="n"/>
      <c r="D46" s="15" t="n"/>
      <c r="E46" s="15" t="n"/>
      <c r="F46" s="15" t="n"/>
      <c r="G46" s="15" t="n"/>
      <c r="H46" s="15" t="n"/>
      <c r="I46" s="15" t="n"/>
      <c r="J46" s="15" t="n"/>
      <c r="K46" s="15" t="n"/>
      <c r="L46" s="15" t="n"/>
      <c r="M46" s="15" t="n"/>
      <c r="N46" s="15" t="n"/>
    </row>
    <row r="47">
      <c r="A47" s="16" t="inlineStr">
        <is>
          <t>ACT-044</t>
        </is>
      </c>
      <c r="B47" s="16" t="n"/>
      <c r="C47" s="16" t="n"/>
      <c r="D47" s="16" t="n"/>
      <c r="E47" s="16" t="n"/>
      <c r="F47" s="16" t="n"/>
      <c r="G47" s="16" t="n"/>
      <c r="H47" s="16" t="n"/>
      <c r="I47" s="16" t="n"/>
      <c r="J47" s="16" t="n"/>
      <c r="K47" s="16" t="n"/>
      <c r="L47" s="16" t="n"/>
      <c r="M47" s="16" t="n"/>
      <c r="N47" s="16" t="n"/>
    </row>
    <row r="48">
      <c r="A48" s="15" t="inlineStr">
        <is>
          <t>ACT-045</t>
        </is>
      </c>
      <c r="B48" s="15" t="n"/>
      <c r="C48" s="15" t="n"/>
      <c r="D48" s="15" t="n"/>
      <c r="E48" s="15" t="n"/>
      <c r="F48" s="15" t="n"/>
      <c r="G48" s="15" t="n"/>
      <c r="H48" s="15" t="n"/>
      <c r="I48" s="15" t="n"/>
      <c r="J48" s="15" t="n"/>
      <c r="K48" s="15" t="n"/>
      <c r="L48" s="15" t="n"/>
      <c r="M48" s="15" t="n"/>
      <c r="N48" s="15" t="n"/>
    </row>
    <row r="49">
      <c r="A49" s="16" t="inlineStr">
        <is>
          <t>ACT-046</t>
        </is>
      </c>
      <c r="B49" s="16" t="n"/>
      <c r="C49" s="16" t="n"/>
      <c r="D49" s="16" t="n"/>
      <c r="E49" s="16" t="n"/>
      <c r="F49" s="16" t="n"/>
      <c r="G49" s="16" t="n"/>
      <c r="H49" s="16" t="n"/>
      <c r="I49" s="16" t="n"/>
      <c r="J49" s="16" t="n"/>
      <c r="K49" s="16" t="n"/>
      <c r="L49" s="16" t="n"/>
      <c r="M49" s="16" t="n"/>
      <c r="N49" s="16" t="n"/>
    </row>
  </sheetData>
  <mergeCells count="1">
    <mergeCell ref="A1:N1"/>
  </mergeCells>
  <dataValidations count="3">
    <dataValidation sqref="D4 D5 D6 D7 D8 D9 D10 D11 D12 D13 D14 D15 D16 D17 D18 D19 D20 D21 D22 D23 D24 D25 D26 D27 D28 D29 D30 D31 D32 D33 D34 D35 D36 D37 D38 D39 D40 D41 D42 D43 D44 D45 D46 D47 D48 D49" showDropDown="0" showInputMessage="0" showErrorMessage="0" allowBlank="1" type="list">
      <formula1>"Phase 1,Phase 2,Phase 3"</formula1>
    </dataValidation>
    <dataValidation sqref="E4 E5 E6 E7 E8 E9 E10 E11 E12 E13 E14 E15 E16 E17 E18 E19 E20 E21 E22 E23 E24 E25 E26 E27 E28 E29 E30 E31 E32 E33 E34 E35 E36 E37 E38 E39 E40 E41 E42 E43 E44 E45 E46 E47 E48 E49" showDropDown="0" showInputMessage="0" showErrorMessage="0" allowBlank="1" type="list">
      <formula1>"🔴 Critique,🟠 Haute,🟡 Moyenne,🟢 Basse"</formula1>
    </dataValidation>
    <dataValidation sqref="I4 I5 I6 I7 I8 I9 I10 I11 I12 I13 I14 I15 I16 I17 I18 I19 I20 I21 I22 I23 I24 I25 I26 I27 I28 I29 I30 I31 I32 I33 I34 I35 I36 I37 I38 I39 I40 I41 I42 I43 I44 I45 I46 I47 I48 I49" showDropDown="0" showInputMessage="0" showErrorMessage="0" allowBlank="1" type="list">
      <formula1>"📋 À faire,🔄 En cours,✅ Terminé,⛔ Bloqué,⏸️ En pause"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9"/>
  <sheetViews>
    <sheetView workbookViewId="0">
      <selection activeCell="A1" sqref="A1"/>
    </sheetView>
  </sheetViews>
  <sheetFormatPr baseColWidth="8" defaultRowHeight="15"/>
  <cols>
    <col width="3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35" customHeight="1">
      <c r="A1" s="1" t="inlineStr">
        <is>
          <t>📅 CALENDRIER DU PROJET - VUE 12 SEMAINES</t>
        </is>
      </c>
    </row>
    <row r="3">
      <c r="A3" s="17" t="inlineStr">
        <is>
          <t>Action</t>
        </is>
      </c>
      <c r="B3" s="18" t="inlineStr">
        <is>
          <t>S1</t>
        </is>
      </c>
      <c r="C3" s="18" t="inlineStr">
        <is>
          <t>S2</t>
        </is>
      </c>
      <c r="D3" s="18" t="inlineStr">
        <is>
          <t>S3</t>
        </is>
      </c>
      <c r="E3" s="18" t="inlineStr">
        <is>
          <t>S4</t>
        </is>
      </c>
      <c r="F3" s="19" t="inlineStr">
        <is>
          <t>S5</t>
        </is>
      </c>
      <c r="G3" s="19" t="inlineStr">
        <is>
          <t>S6</t>
        </is>
      </c>
      <c r="H3" s="19" t="inlineStr">
        <is>
          <t>S7</t>
        </is>
      </c>
      <c r="I3" s="19" t="inlineStr">
        <is>
          <t>S8</t>
        </is>
      </c>
      <c r="J3" s="20" t="inlineStr">
        <is>
          <t>S9</t>
        </is>
      </c>
      <c r="K3" s="20" t="inlineStr">
        <is>
          <t>S10</t>
        </is>
      </c>
      <c r="L3" s="20" t="inlineStr">
        <is>
          <t>S11</t>
        </is>
      </c>
      <c r="M3" s="20" t="inlineStr">
        <is>
          <t>S12</t>
        </is>
      </c>
    </row>
    <row r="4">
      <c r="A4" s="16" t="n"/>
      <c r="B4" s="16" t="n"/>
      <c r="C4" s="16" t="n"/>
      <c r="D4" s="16" t="n"/>
      <c r="E4" s="16" t="n"/>
      <c r="F4" s="16" t="n"/>
      <c r="G4" s="16" t="n"/>
      <c r="H4" s="16" t="n"/>
      <c r="I4" s="16" t="n"/>
      <c r="J4" s="16" t="n"/>
      <c r="K4" s="16" t="n"/>
      <c r="L4" s="16" t="n"/>
      <c r="M4" s="16"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sheetData>
  <mergeCells count="1">
    <mergeCell ref="A1:N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8" customWidth="1" min="1" max="1"/>
    <col width="25" customWidth="1" min="2" max="2"/>
    <col width="12" customWidth="1" min="3" max="3"/>
    <col width="12" customWidth="1" min="4" max="4"/>
    <col width="12" customWidth="1" min="5" max="5"/>
    <col width="25" customWidth="1" min="6" max="6"/>
    <col width="15" customWidth="1" min="7" max="7"/>
    <col width="12" customWidth="1" min="8" max="8"/>
    <col width="12" customWidth="1" min="9" max="9"/>
    <col width="20" customWidth="1" min="10" max="10"/>
  </cols>
  <sheetData>
    <row r="1" ht="35" customHeight="1">
      <c r="A1" s="1" t="inlineStr">
        <is>
          <t>⚠️ REGISTRE DES RISQUES DU PROJET</t>
        </is>
      </c>
    </row>
    <row r="3">
      <c r="A3" s="14" t="inlineStr">
        <is>
          <t>ID</t>
        </is>
      </c>
      <c r="B3" s="14" t="inlineStr">
        <is>
          <t>Risque</t>
        </is>
      </c>
      <c r="C3" s="14" t="inlineStr">
        <is>
          <t>Probabilité</t>
        </is>
      </c>
      <c r="D3" s="14" t="inlineStr">
        <is>
          <t>Impact</t>
        </is>
      </c>
      <c r="E3" s="14" t="inlineStr">
        <is>
          <t>Criticité</t>
        </is>
      </c>
      <c r="F3" s="14" t="inlineStr">
        <is>
          <t>Mitigation</t>
        </is>
      </c>
      <c r="G3" s="14" t="inlineStr">
        <is>
          <t>Responsable</t>
        </is>
      </c>
      <c r="H3" s="14" t="inlineStr">
        <is>
          <t>Statut</t>
        </is>
      </c>
      <c r="I3" s="14" t="inlineStr">
        <is>
          <t>Date revue</t>
        </is>
      </c>
      <c r="J3" s="14" t="inlineStr">
        <is>
          <t>Notes</t>
        </is>
      </c>
    </row>
    <row r="4">
      <c r="A4" s="16" t="inlineStr">
        <is>
          <t>R-001</t>
        </is>
      </c>
      <c r="B4" s="16" t="inlineStr">
        <is>
          <t>Manque ressources</t>
        </is>
      </c>
      <c r="C4" s="16" t="inlineStr">
        <is>
          <t>🟠 Moyenne</t>
        </is>
      </c>
      <c r="D4" s="16" t="inlineStr">
        <is>
          <t>🟠 Majeur</t>
        </is>
      </c>
      <c r="E4" s="16" t="inlineStr">
        <is>
          <t>🟠 ÉLEVÉE</t>
        </is>
      </c>
      <c r="F4" s="16" t="inlineStr">
        <is>
          <t>Formation, consultants</t>
        </is>
      </c>
      <c r="G4" s="16" t="inlineStr"/>
      <c r="H4" s="16" t="inlineStr">
        <is>
          <t>🔴 Actif</t>
        </is>
      </c>
      <c r="I4" s="16" t="inlineStr"/>
      <c r="J4" s="16" t="inlineStr"/>
    </row>
    <row r="5">
      <c r="A5" s="16" t="inlineStr">
        <is>
          <t>R-002</t>
        </is>
      </c>
      <c r="B5" s="16" t="inlineStr">
        <is>
          <t>Résistance changement</t>
        </is>
      </c>
      <c r="C5" s="16" t="inlineStr">
        <is>
          <t>🟠 Moyenne</t>
        </is>
      </c>
      <c r="D5" s="16" t="inlineStr">
        <is>
          <t>🟡 Modéré</t>
        </is>
      </c>
      <c r="E5" s="16" t="inlineStr">
        <is>
          <t>🟡 MODÉRÉE</t>
        </is>
      </c>
      <c r="F5" s="16" t="inlineStr">
        <is>
          <t>Communication</t>
        </is>
      </c>
      <c r="G5" s="16" t="inlineStr"/>
      <c r="H5" s="16" t="inlineStr">
        <is>
          <t>🟡 Surveillé</t>
        </is>
      </c>
      <c r="I5" s="16" t="inlineStr"/>
      <c r="J5" s="16" t="inlineStr"/>
    </row>
    <row r="6">
      <c r="A6" s="16" t="inlineStr">
        <is>
          <t>R-003</t>
        </is>
      </c>
      <c r="B6" s="16" t="inlineStr">
        <is>
          <t>Doc fournisseur manquante</t>
        </is>
      </c>
      <c r="C6" s="16" t="inlineStr">
        <is>
          <t>🔴 Élevée</t>
        </is>
      </c>
      <c r="D6" s="16" t="inlineStr">
        <is>
          <t>🟠 Majeur</t>
        </is>
      </c>
      <c r="E6" s="16" t="inlineStr">
        <is>
          <t>🔴 CRITIQUE</t>
        </is>
      </c>
      <c r="F6" s="16" t="inlineStr">
        <is>
          <t>Relances, clauses</t>
        </is>
      </c>
      <c r="G6" s="16" t="inlineStr"/>
      <c r="H6" s="16" t="inlineStr">
        <is>
          <t>🔴 Actif</t>
        </is>
      </c>
      <c r="I6" s="16" t="inlineStr"/>
      <c r="J6" s="16" t="inlineStr"/>
    </row>
    <row r="7">
      <c r="A7" s="16" t="inlineStr">
        <is>
          <t>R-004</t>
        </is>
      </c>
      <c r="B7" s="16" t="n"/>
      <c r="C7" s="16" t="n"/>
      <c r="D7" s="16" t="n"/>
      <c r="E7" s="16" t="n"/>
      <c r="F7" s="16" t="n"/>
      <c r="G7" s="16" t="n"/>
      <c r="H7" s="16" t="n"/>
      <c r="I7" s="16" t="n"/>
      <c r="J7" s="16" t="n"/>
    </row>
    <row r="8">
      <c r="A8" s="15" t="inlineStr">
        <is>
          <t>R-005</t>
        </is>
      </c>
      <c r="B8" s="15" t="n"/>
      <c r="C8" s="15" t="n"/>
      <c r="D8" s="15" t="n"/>
      <c r="E8" s="15" t="n"/>
      <c r="F8" s="15" t="n"/>
      <c r="G8" s="15" t="n"/>
      <c r="H8" s="15" t="n"/>
      <c r="I8" s="15" t="n"/>
      <c r="J8" s="15" t="n"/>
    </row>
    <row r="9">
      <c r="A9" s="16" t="inlineStr">
        <is>
          <t>R-006</t>
        </is>
      </c>
      <c r="B9" s="16" t="n"/>
      <c r="C9" s="16" t="n"/>
      <c r="D9" s="16" t="n"/>
      <c r="E9" s="16" t="n"/>
      <c r="F9" s="16" t="n"/>
      <c r="G9" s="16" t="n"/>
      <c r="H9" s="16" t="n"/>
      <c r="I9" s="16" t="n"/>
      <c r="J9" s="16" t="n"/>
    </row>
    <row r="10">
      <c r="A10" s="15" t="inlineStr">
        <is>
          <t>R-007</t>
        </is>
      </c>
      <c r="B10" s="15" t="n"/>
      <c r="C10" s="15" t="n"/>
      <c r="D10" s="15" t="n"/>
      <c r="E10" s="15" t="n"/>
      <c r="F10" s="15" t="n"/>
      <c r="G10" s="15" t="n"/>
      <c r="H10" s="15" t="n"/>
      <c r="I10" s="15" t="n"/>
      <c r="J10" s="15" t="n"/>
    </row>
    <row r="11">
      <c r="A11" s="16" t="inlineStr">
        <is>
          <t>R-008</t>
        </is>
      </c>
      <c r="B11" s="16" t="n"/>
      <c r="C11" s="16" t="n"/>
      <c r="D11" s="16" t="n"/>
      <c r="E11" s="16" t="n"/>
      <c r="F11" s="16" t="n"/>
      <c r="G11" s="16" t="n"/>
      <c r="H11" s="16" t="n"/>
      <c r="I11" s="16" t="n"/>
      <c r="J11" s="16" t="n"/>
    </row>
    <row r="12">
      <c r="A12" s="15" t="inlineStr">
        <is>
          <t>R-009</t>
        </is>
      </c>
      <c r="B12" s="15" t="n"/>
      <c r="C12" s="15" t="n"/>
      <c r="D12" s="15" t="n"/>
      <c r="E12" s="15" t="n"/>
      <c r="F12" s="15" t="n"/>
      <c r="G12" s="15" t="n"/>
      <c r="H12" s="15" t="n"/>
      <c r="I12" s="15" t="n"/>
      <c r="J12" s="15" t="n"/>
    </row>
    <row r="13">
      <c r="A13" s="16" t="inlineStr">
        <is>
          <t>R-010</t>
        </is>
      </c>
      <c r="B13" s="16" t="n"/>
      <c r="C13" s="16" t="n"/>
      <c r="D13" s="16" t="n"/>
      <c r="E13" s="16" t="n"/>
      <c r="F13" s="16" t="n"/>
      <c r="G13" s="16" t="n"/>
      <c r="H13" s="16" t="n"/>
      <c r="I13" s="16" t="n"/>
      <c r="J13" s="16" t="n"/>
    </row>
    <row r="14">
      <c r="A14" s="15" t="inlineStr">
        <is>
          <t>R-011</t>
        </is>
      </c>
      <c r="B14" s="15" t="n"/>
      <c r="C14" s="15" t="n"/>
      <c r="D14" s="15" t="n"/>
      <c r="E14" s="15" t="n"/>
      <c r="F14" s="15" t="n"/>
      <c r="G14" s="15" t="n"/>
      <c r="H14" s="15" t="n"/>
      <c r="I14" s="15" t="n"/>
      <c r="J14" s="15" t="n"/>
    </row>
    <row r="15">
      <c r="A15" s="16" t="inlineStr">
        <is>
          <t>R-012</t>
        </is>
      </c>
      <c r="B15" s="16" t="n"/>
      <c r="C15" s="16" t="n"/>
      <c r="D15" s="16" t="n"/>
      <c r="E15" s="16" t="n"/>
      <c r="F15" s="16" t="n"/>
      <c r="G15" s="16" t="n"/>
      <c r="H15" s="16" t="n"/>
      <c r="I15" s="16" t="n"/>
      <c r="J15" s="16" t="n"/>
    </row>
    <row r="16">
      <c r="A16" s="15" t="inlineStr">
        <is>
          <t>R-013</t>
        </is>
      </c>
      <c r="B16" s="15" t="n"/>
      <c r="C16" s="15" t="n"/>
      <c r="D16" s="15" t="n"/>
      <c r="E16" s="15" t="n"/>
      <c r="F16" s="15" t="n"/>
      <c r="G16" s="15" t="n"/>
      <c r="H16" s="15" t="n"/>
      <c r="I16" s="15" t="n"/>
      <c r="J16" s="15" t="n"/>
    </row>
    <row r="17">
      <c r="A17" s="16" t="inlineStr">
        <is>
          <t>R-014</t>
        </is>
      </c>
      <c r="B17" s="16" t="n"/>
      <c r="C17" s="16" t="n"/>
      <c r="D17" s="16" t="n"/>
      <c r="E17" s="16" t="n"/>
      <c r="F17" s="16" t="n"/>
      <c r="G17" s="16" t="n"/>
      <c r="H17" s="16" t="n"/>
      <c r="I17" s="16" t="n"/>
      <c r="J17" s="16" t="n"/>
    </row>
    <row r="18">
      <c r="A18" s="15" t="inlineStr">
        <is>
          <t>R-015</t>
        </is>
      </c>
      <c r="B18" s="15" t="n"/>
      <c r="C18" s="15" t="n"/>
      <c r="D18" s="15" t="n"/>
      <c r="E18" s="15" t="n"/>
      <c r="F18" s="15" t="n"/>
      <c r="G18" s="15" t="n"/>
      <c r="H18" s="15" t="n"/>
      <c r="I18" s="15" t="n"/>
      <c r="J18" s="15" t="n"/>
    </row>
    <row r="19">
      <c r="A19" s="16" t="inlineStr">
        <is>
          <t>R-016</t>
        </is>
      </c>
      <c r="B19" s="16" t="n"/>
      <c r="C19" s="16" t="n"/>
      <c r="D19" s="16" t="n"/>
      <c r="E19" s="16" t="n"/>
      <c r="F19" s="16" t="n"/>
      <c r="G19" s="16" t="n"/>
      <c r="H19" s="16" t="n"/>
      <c r="I19" s="16" t="n"/>
      <c r="J19" s="16" t="n"/>
    </row>
  </sheetData>
  <mergeCells count="1">
    <mergeCell ref="A1:J1"/>
  </mergeCells>
  <dataValidations count="3">
    <dataValidation sqref="C4 C5 C6 C7 C8 C9 C10 C11 C12 C13 C14 C15 C16 C17 C18 C19" showDropDown="0" showInputMessage="0" showErrorMessage="0" allowBlank="1" type="list">
      <formula1>"🔴 Élevée,🟠 Moyenne,🟢 Faible"</formula1>
    </dataValidation>
    <dataValidation sqref="D4 D5 D6 D7 D8 D9 D10 D11 D12 D13 D14 D15 D16 D17 D18 D19" showDropDown="0" showInputMessage="0" showErrorMessage="0" allowBlank="1" type="list">
      <formula1>"🔴 Critique,🟠 Majeur,🟡 Modéré,🟢 Mineur"</formula1>
    </dataValidation>
    <dataValidation sqref="H4 H5 H6 H7 H8 H9 H10 H11 H12 H13 H14 H15 H16 H17 H18 H19" showDropDown="0" showInputMessage="0" showErrorMessage="0" allowBlank="1" type="list">
      <formula1>"🔴 Actif,🟡 Surveillé,🟢 Clos"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2025-12-27T12:27:14Z</dcterms:created>
  <dcterms:modified xmlns:dcterms="http://purl.org/dc/terms/" xmlns:xsi="http://www.w3.org/2001/XMLSchema-instance" xsi:type="dcterms:W3CDTF">2025-12-27T12:27:14Z</dcterms:modified>
</cp:coreProperties>
</file>