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Inventaire" sheetId="2" state="visible" r:id="rId2"/>
    <sheet xmlns:r="http://schemas.openxmlformats.org/officeDocument/2006/relationships" name="Guide Brainstorming" sheetId="3" state="visible" r:id="rId3"/>
    <sheet xmlns:r="http://schemas.openxmlformats.org/officeDocument/2006/relationships" name="Annexe III - Haut Risqu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404040"/>
      <sz val="10"/>
    </font>
    <font>
      <b val="1"/>
      <color rgb="001F4E79"/>
      <sz val="12"/>
    </font>
    <font>
      <b val="1"/>
      <color rgb="001F4E79"/>
      <sz val="20"/>
    </font>
    <font>
      <b val="1"/>
      <color rgb="00FFFFFF"/>
      <sz val="11"/>
    </font>
  </fonts>
  <fills count="5">
    <fill>
      <patternFill/>
    </fill>
    <fill>
      <patternFill patternType="gray125"/>
    </fill>
    <fill>
      <patternFill patternType="solid">
        <fgColor rgb="001F4E79"/>
        <bgColor rgb="001F4E79"/>
      </patternFill>
    </fill>
    <fill>
      <patternFill patternType="solid">
        <fgColor rgb="00BDD7EE"/>
        <bgColor rgb="00BDD7EE"/>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0" pivotButton="0" quotePrefix="0" xfId="0"/>
    <xf numFmtId="0" fontId="4"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0" fillId="0" borderId="1" pivotButton="0" quotePrefix="0" xfId="0"/>
    <xf numFmtId="0" fontId="0" fillId="4" borderId="1" pivotButton="0" quotePrefix="0" xfId="0"/>
    <xf numFmtId="0"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5" customWidth="1" min="1" max="1"/>
    <col width="12" customWidth="1" min="2" max="2"/>
    <col width="15" customWidth="1" min="3" max="3"/>
    <col width="12" customWidth="1" min="4" max="4"/>
    <col width="15" customWidth="1" min="5" max="5"/>
    <col width="12" customWidth="1" min="6" max="6"/>
    <col width="15" customWidth="1" min="7" max="7"/>
    <col width="12" customWidth="1" min="8" max="8"/>
    <col width="15" customWidth="1" min="9" max="9"/>
    <col width="12" customWidth="1" min="10" max="10"/>
  </cols>
  <sheetData>
    <row r="1" ht="35" customHeight="1">
      <c r="A1" s="1" t="inlineStr">
        <is>
          <t>🔍 DASHBOARD - CARTOGRAPHIE DES SYSTÈMES IA</t>
        </is>
      </c>
    </row>
    <row r="3">
      <c r="A3" s="2" t="inlineStr">
        <is>
          <t>Entreprise :</t>
        </is>
      </c>
      <c r="B3" t="inlineStr"/>
      <c r="D3" s="2" t="inlineStr">
        <is>
          <t>Date cartographie :</t>
        </is>
      </c>
      <c r="E3" t="inlineStr"/>
      <c r="G3" s="2" t="inlineStr">
        <is>
          <t>Responsable :</t>
        </is>
      </c>
      <c r="H3" t="inlineStr"/>
    </row>
    <row r="5">
      <c r="A5" s="3" t="inlineStr">
        <is>
          <t>📊 STATISTIQUES GLOBALES</t>
        </is>
      </c>
    </row>
    <row r="7">
      <c r="A7" s="2" t="inlineStr">
        <is>
          <t>Total identifiés</t>
        </is>
      </c>
      <c r="C7" s="2" t="inlineStr">
        <is>
          <t>Confirmés IA</t>
        </is>
      </c>
      <c r="E7" s="2" t="inlineStr">
        <is>
          <t>À vérifier</t>
        </is>
      </c>
      <c r="G7" s="2" t="inlineStr">
        <is>
          <t>Non IA</t>
        </is>
      </c>
      <c r="I7" s="2" t="inlineStr">
        <is>
          <t>Non évalués</t>
        </is>
      </c>
    </row>
    <row r="8">
      <c r="A8" s="4">
        <f>COUNTIF(Inventaire!F:F,"✅ Oui")+COUNTIF(Inventaire!F:F,"🔄 Probable")</f>
        <v/>
      </c>
      <c r="C8" s="4">
        <f>COUNTIF(Inventaire!F:F,"✅ Oui")</f>
        <v/>
      </c>
      <c r="E8" s="4">
        <f>COUNTIF(Inventaire!F:F,"🔄 Probable")</f>
        <v/>
      </c>
      <c r="G8" s="4">
        <f>COUNTIF(Inventaire!F:F,"❌ Non")</f>
        <v/>
      </c>
      <c r="I8" s="4">
        <f>COUNTIF(Inventaire!F:F,"")</f>
        <v/>
      </c>
    </row>
    <row r="10">
      <c r="A10" s="3" t="inlineStr">
        <is>
          <t>🚦 RÉPARTITION PAR NIVEAU DE RISQUE</t>
        </is>
      </c>
    </row>
    <row r="12">
      <c r="A12" s="2" t="inlineStr">
        <is>
          <t>🔴 Haut risque</t>
        </is>
      </c>
      <c r="C12" s="2" t="inlineStr">
        <is>
          <t>🟠 Risque limité</t>
        </is>
      </c>
      <c r="E12" s="2" t="inlineStr">
        <is>
          <t>🟢 Risque minimal</t>
        </is>
      </c>
      <c r="G12" s="2" t="inlineStr">
        <is>
          <t>⚫ Non classifié</t>
        </is>
      </c>
    </row>
    <row r="13">
      <c r="A13" s="4">
        <f>COUNTIF(Inventaire!I:I,"🔴 Haut risque")</f>
        <v/>
      </c>
      <c r="C13" s="4">
        <f>COUNTIF(Inventaire!I:I,"🟠 Risque limité")</f>
        <v/>
      </c>
      <c r="E13" s="4">
        <f>COUNTIF(Inventaire!I:I,"🟢 Risque minimal")</f>
        <v/>
      </c>
      <c r="G13" s="4">
        <f>COUNTIF(Inventaire!I:I,"")</f>
        <v/>
      </c>
    </row>
    <row r="15">
      <c r="A15" s="3" t="inlineStr">
        <is>
          <t>🏢 RÉPARTITION PAR DÉPARTEMENT</t>
        </is>
      </c>
    </row>
    <row r="17">
      <c r="A17" s="2" t="inlineStr">
        <is>
          <t>RH</t>
        </is>
      </c>
      <c r="B17" s="2" t="inlineStr">
        <is>
          <t>Finance</t>
        </is>
      </c>
      <c r="C17" s="2" t="inlineStr">
        <is>
          <t>Commercial</t>
        </is>
      </c>
      <c r="D17" s="2" t="inlineStr">
        <is>
          <t>IT</t>
        </is>
      </c>
      <c r="E17" s="2" t="inlineStr">
        <is>
          <t>Production</t>
        </is>
      </c>
      <c r="F17" s="2" t="inlineStr">
        <is>
          <t>Marketing</t>
        </is>
      </c>
      <c r="G17" s="2" t="inlineStr">
        <is>
          <t>Juridique</t>
        </is>
      </c>
      <c r="H17" s="2" t="inlineStr">
        <is>
          <t>Direction</t>
        </is>
      </c>
    </row>
    <row r="18">
      <c r="A18" s="5">
        <f>COUNTIFS(Inventaire!B:B,"RH",Inventaire!F:F,"✅ Oui")</f>
        <v/>
      </c>
      <c r="B18" s="5">
        <f>COUNTIFS(Inventaire!B:B,"Finance",Inventaire!F:F,"✅ Oui")</f>
        <v/>
      </c>
      <c r="C18" s="5">
        <f>COUNTIFS(Inventaire!B:B,"Commercial",Inventaire!F:F,"✅ Oui")</f>
        <v/>
      </c>
      <c r="D18" s="5">
        <f>COUNTIFS(Inventaire!B:B,"IT",Inventaire!F:F,"✅ Oui")</f>
        <v/>
      </c>
      <c r="E18" s="5">
        <f>COUNTIFS(Inventaire!B:B,"Production",Inventaire!F:F,"✅ Oui")</f>
        <v/>
      </c>
      <c r="F18" s="5">
        <f>COUNTIFS(Inventaire!B:B,"Marketing",Inventaire!F:F,"✅ Oui")</f>
        <v/>
      </c>
      <c r="G18" s="5">
        <f>COUNTIFS(Inventaire!B:B,"Juridique",Inventaire!F:F,"✅ Oui")</f>
        <v/>
      </c>
      <c r="H18" s="5">
        <f>COUNTIFS(Inventaire!B:B,"Direction",Inventaire!F:F,"✅ Oui")</f>
        <v/>
      </c>
    </row>
  </sheetData>
  <mergeCells count="4">
    <mergeCell ref="A15:J15"/>
    <mergeCell ref="A1:J1"/>
    <mergeCell ref="A10:J10"/>
    <mergeCell ref="A5:J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cols>
    <col width="8" customWidth="1" min="1" max="1"/>
    <col width="12" customWidth="1" min="2" max="2"/>
    <col width="18" customWidth="1" min="3" max="3"/>
    <col width="20" customWidth="1" min="4" max="4"/>
    <col width="15" customWidth="1" min="5" max="5"/>
    <col width="12" customWidth="1" min="6" max="6"/>
    <col width="18" customWidth="1" min="7" max="7"/>
    <col width="25" customWidth="1" min="8" max="8"/>
    <col width="15" customWidth="1" min="9" max="9"/>
    <col width="18" customWidth="1" min="10" max="10"/>
    <col width="12" customWidth="1" min="11" max="11"/>
    <col width="12" customWidth="1" min="12" max="12"/>
    <col width="15" customWidth="1" min="13" max="13"/>
    <col width="15" customWidth="1" min="14" max="14"/>
    <col width="25" customWidth="1" min="15" max="15"/>
  </cols>
  <sheetData>
    <row r="1" ht="35" customHeight="1">
      <c r="A1" s="1" t="inlineStr">
        <is>
          <t>📋 INVENTAIRE DÉTAILLÉ DES SYSTÈMES IA</t>
        </is>
      </c>
    </row>
    <row r="3">
      <c r="A3" s="6" t="inlineStr">
        <is>
          <t>ID</t>
        </is>
      </c>
      <c r="B3" s="6" t="inlineStr">
        <is>
          <t>Département</t>
        </is>
      </c>
      <c r="C3" s="6" t="inlineStr">
        <is>
          <t>Processus métier</t>
        </is>
      </c>
      <c r="D3" s="6" t="inlineStr">
        <is>
          <t>Nom outil/système</t>
        </is>
      </c>
      <c r="E3" s="6" t="inlineStr">
        <is>
          <t>Fournisseur</t>
        </is>
      </c>
      <c r="F3" s="6" t="inlineStr">
        <is>
          <t>Utilise IA ?</t>
        </is>
      </c>
      <c r="G3" s="6" t="inlineStr">
        <is>
          <t>Type d'IA</t>
        </is>
      </c>
      <c r="H3" s="6" t="inlineStr">
        <is>
          <t>Fonctionnalités IA</t>
        </is>
      </c>
      <c r="I3" s="6" t="inlineStr">
        <is>
          <t>Classification risque</t>
        </is>
      </c>
      <c r="J3" s="6" t="inlineStr">
        <is>
          <t>Données traitées</t>
        </is>
      </c>
      <c r="K3" s="6" t="inlineStr">
        <is>
          <t>Nb utilisateurs</t>
        </is>
      </c>
      <c r="L3" s="6" t="inlineStr">
        <is>
          <t>Date déploiement</t>
        </is>
      </c>
      <c r="M3" s="6" t="inlineStr">
        <is>
          <t>Responsable</t>
        </is>
      </c>
      <c r="N3" s="6" t="inlineStr">
        <is>
          <t>Priorité évaluation</t>
        </is>
      </c>
      <c r="O3" s="6" t="inlineStr">
        <is>
          <t>Notes/Commentaires</t>
        </is>
      </c>
    </row>
    <row r="4">
      <c r="A4" s="7" t="inlineStr">
        <is>
          <t>IA-001</t>
        </is>
      </c>
      <c r="B4" s="7" t="inlineStr">
        <is>
          <t>RH</t>
        </is>
      </c>
      <c r="C4" s="7" t="inlineStr">
        <is>
          <t>Recrutement</t>
        </is>
      </c>
      <c r="D4" s="7" t="inlineStr">
        <is>
          <t>SmartRecruit Pro</t>
        </is>
      </c>
      <c r="E4" s="7" t="inlineStr">
        <is>
          <t>Vendor A</t>
        </is>
      </c>
      <c r="F4" s="7" t="inlineStr">
        <is>
          <t>✅ Oui</t>
        </is>
      </c>
      <c r="G4" s="7" t="inlineStr">
        <is>
          <t>🤖 ML/Deep Learning</t>
        </is>
      </c>
      <c r="H4" s="7" t="inlineStr">
        <is>
          <t>Tri CV, matching candidats</t>
        </is>
      </c>
      <c r="I4" s="7" t="inlineStr">
        <is>
          <t>🔴 Haut risque</t>
        </is>
      </c>
      <c r="J4" s="7" t="inlineStr">
        <is>
          <t>👤 Données personnelles</t>
        </is>
      </c>
      <c r="K4" s="7" t="inlineStr">
        <is>
          <t>15</t>
        </is>
      </c>
      <c r="L4" s="7" t="inlineStr">
        <is>
          <t>2023-06</t>
        </is>
      </c>
      <c r="M4" s="7" t="inlineStr">
        <is>
          <t>M. Dupont</t>
        </is>
      </c>
      <c r="N4" s="7" t="inlineStr">
        <is>
          <t>🔴 P1 - Urgent</t>
        </is>
      </c>
      <c r="O4" s="7" t="inlineStr">
        <is>
          <t>Système critique</t>
        </is>
      </c>
    </row>
    <row r="5">
      <c r="A5" s="7" t="inlineStr">
        <is>
          <t>IA-002</t>
        </is>
      </c>
      <c r="B5" s="7" t="inlineStr">
        <is>
          <t>Commercial</t>
        </is>
      </c>
      <c r="C5" s="7" t="inlineStr">
        <is>
          <t>Relation client</t>
        </is>
      </c>
      <c r="D5" s="7" t="inlineStr">
        <is>
          <t>ChatBot Support</t>
        </is>
      </c>
      <c r="E5" s="7" t="inlineStr">
        <is>
          <t>Interne</t>
        </is>
      </c>
      <c r="F5" s="7" t="inlineStr">
        <is>
          <t>✅ Oui</t>
        </is>
      </c>
      <c r="G5" s="7" t="inlineStr">
        <is>
          <t>💬 NLP/Chatbot</t>
        </is>
      </c>
      <c r="H5" s="7" t="inlineStr">
        <is>
          <t>Réponses automatiques</t>
        </is>
      </c>
      <c r="I5" s="7" t="inlineStr">
        <is>
          <t>🟠 Risque limité</t>
        </is>
      </c>
      <c r="J5" s="7" t="inlineStr">
        <is>
          <t>👤 Données personnelles</t>
        </is>
      </c>
      <c r="K5" s="7" t="inlineStr">
        <is>
          <t>10000</t>
        </is>
      </c>
      <c r="L5" s="7" t="inlineStr">
        <is>
          <t>2024-01</t>
        </is>
      </c>
      <c r="M5" s="7" t="inlineStr">
        <is>
          <t>Mme Martin</t>
        </is>
      </c>
      <c r="N5" s="7" t="inlineStr">
        <is>
          <t>🟠 P2 - Important</t>
        </is>
      </c>
      <c r="O5" s="7" t="inlineStr"/>
    </row>
    <row r="6">
      <c r="A6" s="7" t="inlineStr">
        <is>
          <t>IA-003</t>
        </is>
      </c>
      <c r="B6" s="7" t="inlineStr">
        <is>
          <t>Finance</t>
        </is>
      </c>
      <c r="C6" s="7" t="inlineStr">
        <is>
          <t>Scoring crédit</t>
        </is>
      </c>
      <c r="D6" s="7" t="inlineStr">
        <is>
          <t>CreditScore AI</t>
        </is>
      </c>
      <c r="E6" s="7" t="inlineStr">
        <is>
          <t>Vendor B</t>
        </is>
      </c>
      <c r="F6" s="7" t="inlineStr">
        <is>
          <t>✅ Oui</t>
        </is>
      </c>
      <c r="G6" s="7" t="inlineStr">
        <is>
          <t>📊 Analytics prédictif</t>
        </is>
      </c>
      <c r="H6" s="7" t="inlineStr">
        <is>
          <t>Évaluation solvabilité</t>
        </is>
      </c>
      <c r="I6" s="7" t="inlineStr">
        <is>
          <t>🔴 Haut risque</t>
        </is>
      </c>
      <c r="J6" s="7" t="inlineStr">
        <is>
          <t>🔒 Données sensibles</t>
        </is>
      </c>
      <c r="K6" s="7" t="inlineStr">
        <is>
          <t>8</t>
        </is>
      </c>
      <c r="L6" s="7" t="inlineStr">
        <is>
          <t>2022-09</t>
        </is>
      </c>
      <c r="M6" s="7" t="inlineStr">
        <is>
          <t>M. Bernard</t>
        </is>
      </c>
      <c r="N6" s="7" t="inlineStr">
        <is>
          <t>🔴 P1 - Urgent</t>
        </is>
      </c>
      <c r="O6" s="7" t="inlineStr">
        <is>
          <t>AIPD requise</t>
        </is>
      </c>
    </row>
    <row r="7">
      <c r="A7" s="7" t="inlineStr">
        <is>
          <t>IA-004</t>
        </is>
      </c>
      <c r="B7" s="7" t="n"/>
      <c r="C7" s="7" t="n"/>
      <c r="D7" s="7" t="n"/>
      <c r="E7" s="7" t="n"/>
      <c r="F7" s="7" t="n"/>
      <c r="G7" s="7" t="n"/>
      <c r="H7" s="7" t="n"/>
      <c r="I7" s="7" t="n"/>
      <c r="J7" s="7" t="n"/>
      <c r="K7" s="7" t="n"/>
      <c r="L7" s="7" t="n"/>
      <c r="M7" s="7" t="n"/>
      <c r="N7" s="7" t="n"/>
      <c r="O7" s="7" t="n"/>
    </row>
    <row r="8">
      <c r="A8" s="8" t="inlineStr">
        <is>
          <t>IA-005</t>
        </is>
      </c>
      <c r="B8" s="8" t="n"/>
      <c r="C8" s="8" t="n"/>
      <c r="D8" s="8" t="n"/>
      <c r="E8" s="8" t="n"/>
      <c r="F8" s="8" t="n"/>
      <c r="G8" s="8" t="n"/>
      <c r="H8" s="8" t="n"/>
      <c r="I8" s="8" t="n"/>
      <c r="J8" s="8" t="n"/>
      <c r="K8" s="8" t="n"/>
      <c r="L8" s="8" t="n"/>
      <c r="M8" s="8" t="n"/>
      <c r="N8" s="8" t="n"/>
      <c r="O8" s="8" t="n"/>
    </row>
    <row r="9">
      <c r="A9" s="7" t="inlineStr">
        <is>
          <t>IA-006</t>
        </is>
      </c>
      <c r="B9" s="7" t="n"/>
      <c r="C9" s="7" t="n"/>
      <c r="D9" s="7" t="n"/>
      <c r="E9" s="7" t="n"/>
      <c r="F9" s="7" t="n"/>
      <c r="G9" s="7" t="n"/>
      <c r="H9" s="7" t="n"/>
      <c r="I9" s="7" t="n"/>
      <c r="J9" s="7" t="n"/>
      <c r="K9" s="7" t="n"/>
      <c r="L9" s="7" t="n"/>
      <c r="M9" s="7" t="n"/>
      <c r="N9" s="7" t="n"/>
      <c r="O9" s="7" t="n"/>
    </row>
    <row r="10">
      <c r="A10" s="8" t="inlineStr">
        <is>
          <t>IA-007</t>
        </is>
      </c>
      <c r="B10" s="8" t="n"/>
      <c r="C10" s="8" t="n"/>
      <c r="D10" s="8" t="n"/>
      <c r="E10" s="8" t="n"/>
      <c r="F10" s="8" t="n"/>
      <c r="G10" s="8" t="n"/>
      <c r="H10" s="8" t="n"/>
      <c r="I10" s="8" t="n"/>
      <c r="J10" s="8" t="n"/>
      <c r="K10" s="8" t="n"/>
      <c r="L10" s="8" t="n"/>
      <c r="M10" s="8" t="n"/>
      <c r="N10" s="8" t="n"/>
      <c r="O10" s="8" t="n"/>
    </row>
    <row r="11">
      <c r="A11" s="7" t="inlineStr">
        <is>
          <t>IA-008</t>
        </is>
      </c>
      <c r="B11" s="7" t="n"/>
      <c r="C11" s="7" t="n"/>
      <c r="D11" s="7" t="n"/>
      <c r="E11" s="7" t="n"/>
      <c r="F11" s="7" t="n"/>
      <c r="G11" s="7" t="n"/>
      <c r="H11" s="7" t="n"/>
      <c r="I11" s="7" t="n"/>
      <c r="J11" s="7" t="n"/>
      <c r="K11" s="7" t="n"/>
      <c r="L11" s="7" t="n"/>
      <c r="M11" s="7" t="n"/>
      <c r="N11" s="7" t="n"/>
      <c r="O11" s="7" t="n"/>
    </row>
    <row r="12">
      <c r="A12" s="8" t="inlineStr">
        <is>
          <t>IA-009</t>
        </is>
      </c>
      <c r="B12" s="8" t="n"/>
      <c r="C12" s="8" t="n"/>
      <c r="D12" s="8" t="n"/>
      <c r="E12" s="8" t="n"/>
      <c r="F12" s="8" t="n"/>
      <c r="G12" s="8" t="n"/>
      <c r="H12" s="8" t="n"/>
      <c r="I12" s="8" t="n"/>
      <c r="J12" s="8" t="n"/>
      <c r="K12" s="8" t="n"/>
      <c r="L12" s="8" t="n"/>
      <c r="M12" s="8" t="n"/>
      <c r="N12" s="8" t="n"/>
      <c r="O12" s="8" t="n"/>
    </row>
    <row r="13">
      <c r="A13" s="7" t="inlineStr">
        <is>
          <t>IA-010</t>
        </is>
      </c>
      <c r="B13" s="7" t="n"/>
      <c r="C13" s="7" t="n"/>
      <c r="D13" s="7" t="n"/>
      <c r="E13" s="7" t="n"/>
      <c r="F13" s="7" t="n"/>
      <c r="G13" s="7" t="n"/>
      <c r="H13" s="7" t="n"/>
      <c r="I13" s="7" t="n"/>
      <c r="J13" s="7" t="n"/>
      <c r="K13" s="7" t="n"/>
      <c r="L13" s="7" t="n"/>
      <c r="M13" s="7" t="n"/>
      <c r="N13" s="7" t="n"/>
      <c r="O13" s="7" t="n"/>
    </row>
    <row r="14">
      <c r="A14" s="8" t="inlineStr">
        <is>
          <t>IA-011</t>
        </is>
      </c>
      <c r="B14" s="8" t="n"/>
      <c r="C14" s="8" t="n"/>
      <c r="D14" s="8" t="n"/>
      <c r="E14" s="8" t="n"/>
      <c r="F14" s="8" t="n"/>
      <c r="G14" s="8" t="n"/>
      <c r="H14" s="8" t="n"/>
      <c r="I14" s="8" t="n"/>
      <c r="J14" s="8" t="n"/>
      <c r="K14" s="8" t="n"/>
      <c r="L14" s="8" t="n"/>
      <c r="M14" s="8" t="n"/>
      <c r="N14" s="8" t="n"/>
      <c r="O14" s="8" t="n"/>
    </row>
    <row r="15">
      <c r="A15" s="7" t="inlineStr">
        <is>
          <t>IA-012</t>
        </is>
      </c>
      <c r="B15" s="7" t="n"/>
      <c r="C15" s="7" t="n"/>
      <c r="D15" s="7" t="n"/>
      <c r="E15" s="7" t="n"/>
      <c r="F15" s="7" t="n"/>
      <c r="G15" s="7" t="n"/>
      <c r="H15" s="7" t="n"/>
      <c r="I15" s="7" t="n"/>
      <c r="J15" s="7" t="n"/>
      <c r="K15" s="7" t="n"/>
      <c r="L15" s="7" t="n"/>
      <c r="M15" s="7" t="n"/>
      <c r="N15" s="7" t="n"/>
      <c r="O15" s="7" t="n"/>
    </row>
    <row r="16">
      <c r="A16" s="8" t="inlineStr">
        <is>
          <t>IA-013</t>
        </is>
      </c>
      <c r="B16" s="8" t="n"/>
      <c r="C16" s="8" t="n"/>
      <c r="D16" s="8" t="n"/>
      <c r="E16" s="8" t="n"/>
      <c r="F16" s="8" t="n"/>
      <c r="G16" s="8" t="n"/>
      <c r="H16" s="8" t="n"/>
      <c r="I16" s="8" t="n"/>
      <c r="J16" s="8" t="n"/>
      <c r="K16" s="8" t="n"/>
      <c r="L16" s="8" t="n"/>
      <c r="M16" s="8" t="n"/>
      <c r="N16" s="8" t="n"/>
      <c r="O16" s="8" t="n"/>
    </row>
    <row r="17">
      <c r="A17" s="7" t="inlineStr">
        <is>
          <t>IA-014</t>
        </is>
      </c>
      <c r="B17" s="7" t="n"/>
      <c r="C17" s="7" t="n"/>
      <c r="D17" s="7" t="n"/>
      <c r="E17" s="7" t="n"/>
      <c r="F17" s="7" t="n"/>
      <c r="G17" s="7" t="n"/>
      <c r="H17" s="7" t="n"/>
      <c r="I17" s="7" t="n"/>
      <c r="J17" s="7" t="n"/>
      <c r="K17" s="7" t="n"/>
      <c r="L17" s="7" t="n"/>
      <c r="M17" s="7" t="n"/>
      <c r="N17" s="7" t="n"/>
      <c r="O17" s="7" t="n"/>
    </row>
    <row r="18">
      <c r="A18" s="8" t="inlineStr">
        <is>
          <t>IA-015</t>
        </is>
      </c>
      <c r="B18" s="8" t="n"/>
      <c r="C18" s="8" t="n"/>
      <c r="D18" s="8" t="n"/>
      <c r="E18" s="8" t="n"/>
      <c r="F18" s="8" t="n"/>
      <c r="G18" s="8" t="n"/>
      <c r="H18" s="8" t="n"/>
      <c r="I18" s="8" t="n"/>
      <c r="J18" s="8" t="n"/>
      <c r="K18" s="8" t="n"/>
      <c r="L18" s="8" t="n"/>
      <c r="M18" s="8" t="n"/>
      <c r="N18" s="8" t="n"/>
      <c r="O18" s="8" t="n"/>
    </row>
    <row r="19">
      <c r="A19" s="7" t="inlineStr">
        <is>
          <t>IA-016</t>
        </is>
      </c>
      <c r="B19" s="7" t="n"/>
      <c r="C19" s="7" t="n"/>
      <c r="D19" s="7" t="n"/>
      <c r="E19" s="7" t="n"/>
      <c r="F19" s="7" t="n"/>
      <c r="G19" s="7" t="n"/>
      <c r="H19" s="7" t="n"/>
      <c r="I19" s="7" t="n"/>
      <c r="J19" s="7" t="n"/>
      <c r="K19" s="7" t="n"/>
      <c r="L19" s="7" t="n"/>
      <c r="M19" s="7" t="n"/>
      <c r="N19" s="7" t="n"/>
      <c r="O19" s="7" t="n"/>
    </row>
    <row r="20">
      <c r="A20" s="8" t="inlineStr">
        <is>
          <t>IA-017</t>
        </is>
      </c>
      <c r="B20" s="8" t="n"/>
      <c r="C20" s="8" t="n"/>
      <c r="D20" s="8" t="n"/>
      <c r="E20" s="8" t="n"/>
      <c r="F20" s="8" t="n"/>
      <c r="G20" s="8" t="n"/>
      <c r="H20" s="8" t="n"/>
      <c r="I20" s="8" t="n"/>
      <c r="J20" s="8" t="n"/>
      <c r="K20" s="8" t="n"/>
      <c r="L20" s="8" t="n"/>
      <c r="M20" s="8" t="n"/>
      <c r="N20" s="8" t="n"/>
      <c r="O20" s="8" t="n"/>
    </row>
    <row r="21">
      <c r="A21" s="7" t="inlineStr">
        <is>
          <t>IA-018</t>
        </is>
      </c>
      <c r="B21" s="7" t="n"/>
      <c r="C21" s="7" t="n"/>
      <c r="D21" s="7" t="n"/>
      <c r="E21" s="7" t="n"/>
      <c r="F21" s="7" t="n"/>
      <c r="G21" s="7" t="n"/>
      <c r="H21" s="7" t="n"/>
      <c r="I21" s="7" t="n"/>
      <c r="J21" s="7" t="n"/>
      <c r="K21" s="7" t="n"/>
      <c r="L21" s="7" t="n"/>
      <c r="M21" s="7" t="n"/>
      <c r="N21" s="7" t="n"/>
      <c r="O21" s="7" t="n"/>
    </row>
    <row r="22">
      <c r="A22" s="8" t="inlineStr">
        <is>
          <t>IA-019</t>
        </is>
      </c>
      <c r="B22" s="8" t="n"/>
      <c r="C22" s="8" t="n"/>
      <c r="D22" s="8" t="n"/>
      <c r="E22" s="8" t="n"/>
      <c r="F22" s="8" t="n"/>
      <c r="G22" s="8" t="n"/>
      <c r="H22" s="8" t="n"/>
      <c r="I22" s="8" t="n"/>
      <c r="J22" s="8" t="n"/>
      <c r="K22" s="8" t="n"/>
      <c r="L22" s="8" t="n"/>
      <c r="M22" s="8" t="n"/>
      <c r="N22" s="8" t="n"/>
      <c r="O22" s="8" t="n"/>
    </row>
    <row r="23">
      <c r="A23" s="7" t="inlineStr">
        <is>
          <t>IA-020</t>
        </is>
      </c>
      <c r="B23" s="7" t="n"/>
      <c r="C23" s="7" t="n"/>
      <c r="D23" s="7" t="n"/>
      <c r="E23" s="7" t="n"/>
      <c r="F23" s="7" t="n"/>
      <c r="G23" s="7" t="n"/>
      <c r="H23" s="7" t="n"/>
      <c r="I23" s="7" t="n"/>
      <c r="J23" s="7" t="n"/>
      <c r="K23" s="7" t="n"/>
      <c r="L23" s="7" t="n"/>
      <c r="M23" s="7" t="n"/>
      <c r="N23" s="7" t="n"/>
      <c r="O23" s="7" t="n"/>
    </row>
    <row r="24">
      <c r="A24" s="8" t="inlineStr">
        <is>
          <t>IA-021</t>
        </is>
      </c>
      <c r="B24" s="8" t="n"/>
      <c r="C24" s="8" t="n"/>
      <c r="D24" s="8" t="n"/>
      <c r="E24" s="8" t="n"/>
      <c r="F24" s="8" t="n"/>
      <c r="G24" s="8" t="n"/>
      <c r="H24" s="8" t="n"/>
      <c r="I24" s="8" t="n"/>
      <c r="J24" s="8" t="n"/>
      <c r="K24" s="8" t="n"/>
      <c r="L24" s="8" t="n"/>
      <c r="M24" s="8" t="n"/>
      <c r="N24" s="8" t="n"/>
      <c r="O24" s="8" t="n"/>
    </row>
    <row r="25">
      <c r="A25" s="7" t="inlineStr">
        <is>
          <t>IA-022</t>
        </is>
      </c>
      <c r="B25" s="7" t="n"/>
      <c r="C25" s="7" t="n"/>
      <c r="D25" s="7" t="n"/>
      <c r="E25" s="7" t="n"/>
      <c r="F25" s="7" t="n"/>
      <c r="G25" s="7" t="n"/>
      <c r="H25" s="7" t="n"/>
      <c r="I25" s="7" t="n"/>
      <c r="J25" s="7" t="n"/>
      <c r="K25" s="7" t="n"/>
      <c r="L25" s="7" t="n"/>
      <c r="M25" s="7" t="n"/>
      <c r="N25" s="7" t="n"/>
      <c r="O25" s="7" t="n"/>
    </row>
    <row r="26">
      <c r="A26" s="8" t="inlineStr">
        <is>
          <t>IA-023</t>
        </is>
      </c>
      <c r="B26" s="8" t="n"/>
      <c r="C26" s="8" t="n"/>
      <c r="D26" s="8" t="n"/>
      <c r="E26" s="8" t="n"/>
      <c r="F26" s="8" t="n"/>
      <c r="G26" s="8" t="n"/>
      <c r="H26" s="8" t="n"/>
      <c r="I26" s="8" t="n"/>
      <c r="J26" s="8" t="n"/>
      <c r="K26" s="8" t="n"/>
      <c r="L26" s="8" t="n"/>
      <c r="M26" s="8" t="n"/>
      <c r="N26" s="8" t="n"/>
      <c r="O26" s="8" t="n"/>
    </row>
    <row r="27">
      <c r="A27" s="7" t="inlineStr">
        <is>
          <t>IA-024</t>
        </is>
      </c>
      <c r="B27" s="7" t="n"/>
      <c r="C27" s="7" t="n"/>
      <c r="D27" s="7" t="n"/>
      <c r="E27" s="7" t="n"/>
      <c r="F27" s="7" t="n"/>
      <c r="G27" s="7" t="n"/>
      <c r="H27" s="7" t="n"/>
      <c r="I27" s="7" t="n"/>
      <c r="J27" s="7" t="n"/>
      <c r="K27" s="7" t="n"/>
      <c r="L27" s="7" t="n"/>
      <c r="M27" s="7" t="n"/>
      <c r="N27" s="7" t="n"/>
      <c r="O27" s="7" t="n"/>
    </row>
    <row r="28">
      <c r="A28" s="8" t="inlineStr">
        <is>
          <t>IA-025</t>
        </is>
      </c>
      <c r="B28" s="8" t="n"/>
      <c r="C28" s="8" t="n"/>
      <c r="D28" s="8" t="n"/>
      <c r="E28" s="8" t="n"/>
      <c r="F28" s="8" t="n"/>
      <c r="G28" s="8" t="n"/>
      <c r="H28" s="8" t="n"/>
      <c r="I28" s="8" t="n"/>
      <c r="J28" s="8" t="n"/>
      <c r="K28" s="8" t="n"/>
      <c r="L28" s="8" t="n"/>
      <c r="M28" s="8" t="n"/>
      <c r="N28" s="8" t="n"/>
      <c r="O28" s="8" t="n"/>
    </row>
    <row r="29">
      <c r="A29" s="7" t="inlineStr">
        <is>
          <t>IA-026</t>
        </is>
      </c>
      <c r="B29" s="7" t="n"/>
      <c r="C29" s="7" t="n"/>
      <c r="D29" s="7" t="n"/>
      <c r="E29" s="7" t="n"/>
      <c r="F29" s="7" t="n"/>
      <c r="G29" s="7" t="n"/>
      <c r="H29" s="7" t="n"/>
      <c r="I29" s="7" t="n"/>
      <c r="J29" s="7" t="n"/>
      <c r="K29" s="7" t="n"/>
      <c r="L29" s="7" t="n"/>
      <c r="M29" s="7" t="n"/>
      <c r="N29" s="7" t="n"/>
      <c r="O29" s="7" t="n"/>
    </row>
    <row r="30">
      <c r="A30" s="8" t="inlineStr">
        <is>
          <t>IA-027</t>
        </is>
      </c>
      <c r="B30" s="8" t="n"/>
      <c r="C30" s="8" t="n"/>
      <c r="D30" s="8" t="n"/>
      <c r="E30" s="8" t="n"/>
      <c r="F30" s="8" t="n"/>
      <c r="G30" s="8" t="n"/>
      <c r="H30" s="8" t="n"/>
      <c r="I30" s="8" t="n"/>
      <c r="J30" s="8" t="n"/>
      <c r="K30" s="8" t="n"/>
      <c r="L30" s="8" t="n"/>
      <c r="M30" s="8" t="n"/>
      <c r="N30" s="8" t="n"/>
      <c r="O30" s="8" t="n"/>
    </row>
    <row r="31">
      <c r="A31" s="7" t="inlineStr">
        <is>
          <t>IA-028</t>
        </is>
      </c>
      <c r="B31" s="7" t="n"/>
      <c r="C31" s="7" t="n"/>
      <c r="D31" s="7" t="n"/>
      <c r="E31" s="7" t="n"/>
      <c r="F31" s="7" t="n"/>
      <c r="G31" s="7" t="n"/>
      <c r="H31" s="7" t="n"/>
      <c r="I31" s="7" t="n"/>
      <c r="J31" s="7" t="n"/>
      <c r="K31" s="7" t="n"/>
      <c r="L31" s="7" t="n"/>
      <c r="M31" s="7" t="n"/>
      <c r="N31" s="7" t="n"/>
      <c r="O31" s="7" t="n"/>
    </row>
    <row r="32">
      <c r="A32" s="8" t="inlineStr">
        <is>
          <t>IA-029</t>
        </is>
      </c>
      <c r="B32" s="8" t="n"/>
      <c r="C32" s="8" t="n"/>
      <c r="D32" s="8" t="n"/>
      <c r="E32" s="8" t="n"/>
      <c r="F32" s="8" t="n"/>
      <c r="G32" s="8" t="n"/>
      <c r="H32" s="8" t="n"/>
      <c r="I32" s="8" t="n"/>
      <c r="J32" s="8" t="n"/>
      <c r="K32" s="8" t="n"/>
      <c r="L32" s="8" t="n"/>
      <c r="M32" s="8" t="n"/>
      <c r="N32" s="8" t="n"/>
      <c r="O32" s="8" t="n"/>
    </row>
    <row r="33">
      <c r="A33" s="7" t="inlineStr">
        <is>
          <t>IA-030</t>
        </is>
      </c>
      <c r="B33" s="7" t="n"/>
      <c r="C33" s="7" t="n"/>
      <c r="D33" s="7" t="n"/>
      <c r="E33" s="7" t="n"/>
      <c r="F33" s="7" t="n"/>
      <c r="G33" s="7" t="n"/>
      <c r="H33" s="7" t="n"/>
      <c r="I33" s="7" t="n"/>
      <c r="J33" s="7" t="n"/>
      <c r="K33" s="7" t="n"/>
      <c r="L33" s="7" t="n"/>
      <c r="M33" s="7" t="n"/>
      <c r="N33" s="7" t="n"/>
      <c r="O33" s="7" t="n"/>
    </row>
    <row r="34">
      <c r="A34" s="8" t="inlineStr">
        <is>
          <t>IA-031</t>
        </is>
      </c>
      <c r="B34" s="8" t="n"/>
      <c r="C34" s="8" t="n"/>
      <c r="D34" s="8" t="n"/>
      <c r="E34" s="8" t="n"/>
      <c r="F34" s="8" t="n"/>
      <c r="G34" s="8" t="n"/>
      <c r="H34" s="8" t="n"/>
      <c r="I34" s="8" t="n"/>
      <c r="J34" s="8" t="n"/>
      <c r="K34" s="8" t="n"/>
      <c r="L34" s="8" t="n"/>
      <c r="M34" s="8" t="n"/>
      <c r="N34" s="8" t="n"/>
      <c r="O34" s="8" t="n"/>
    </row>
    <row r="35">
      <c r="A35" s="7" t="inlineStr">
        <is>
          <t>IA-032</t>
        </is>
      </c>
      <c r="B35" s="7" t="n"/>
      <c r="C35" s="7" t="n"/>
      <c r="D35" s="7" t="n"/>
      <c r="E35" s="7" t="n"/>
      <c r="F35" s="7" t="n"/>
      <c r="G35" s="7" t="n"/>
      <c r="H35" s="7" t="n"/>
      <c r="I35" s="7" t="n"/>
      <c r="J35" s="7" t="n"/>
      <c r="K35" s="7" t="n"/>
      <c r="L35" s="7" t="n"/>
      <c r="M35" s="7" t="n"/>
      <c r="N35" s="7" t="n"/>
      <c r="O35" s="7" t="n"/>
    </row>
    <row r="36">
      <c r="A36" s="8" t="inlineStr">
        <is>
          <t>IA-033</t>
        </is>
      </c>
      <c r="B36" s="8" t="n"/>
      <c r="C36" s="8" t="n"/>
      <c r="D36" s="8" t="n"/>
      <c r="E36" s="8" t="n"/>
      <c r="F36" s="8" t="n"/>
      <c r="G36" s="8" t="n"/>
      <c r="H36" s="8" t="n"/>
      <c r="I36" s="8" t="n"/>
      <c r="J36" s="8" t="n"/>
      <c r="K36" s="8" t="n"/>
      <c r="L36" s="8" t="n"/>
      <c r="M36" s="8" t="n"/>
      <c r="N36" s="8" t="n"/>
      <c r="O36" s="8" t="n"/>
    </row>
    <row r="37">
      <c r="A37" s="7" t="inlineStr">
        <is>
          <t>IA-034</t>
        </is>
      </c>
      <c r="B37" s="7" t="n"/>
      <c r="C37" s="7" t="n"/>
      <c r="D37" s="7" t="n"/>
      <c r="E37" s="7" t="n"/>
      <c r="F37" s="7" t="n"/>
      <c r="G37" s="7" t="n"/>
      <c r="H37" s="7" t="n"/>
      <c r="I37" s="7" t="n"/>
      <c r="J37" s="7" t="n"/>
      <c r="K37" s="7" t="n"/>
      <c r="L37" s="7" t="n"/>
      <c r="M37" s="7" t="n"/>
      <c r="N37" s="7" t="n"/>
      <c r="O37" s="7" t="n"/>
    </row>
    <row r="38">
      <c r="A38" s="8" t="inlineStr">
        <is>
          <t>IA-035</t>
        </is>
      </c>
      <c r="B38" s="8" t="n"/>
      <c r="C38" s="8" t="n"/>
      <c r="D38" s="8" t="n"/>
      <c r="E38" s="8" t="n"/>
      <c r="F38" s="8" t="n"/>
      <c r="G38" s="8" t="n"/>
      <c r="H38" s="8" t="n"/>
      <c r="I38" s="8" t="n"/>
      <c r="J38" s="8" t="n"/>
      <c r="K38" s="8" t="n"/>
      <c r="L38" s="8" t="n"/>
      <c r="M38" s="8" t="n"/>
      <c r="N38" s="8" t="n"/>
      <c r="O38" s="8" t="n"/>
    </row>
    <row r="39">
      <c r="A39" s="7" t="inlineStr">
        <is>
          <t>IA-036</t>
        </is>
      </c>
      <c r="B39" s="7" t="n"/>
      <c r="C39" s="7" t="n"/>
      <c r="D39" s="7" t="n"/>
      <c r="E39" s="7" t="n"/>
      <c r="F39" s="7" t="n"/>
      <c r="G39" s="7" t="n"/>
      <c r="H39" s="7" t="n"/>
      <c r="I39" s="7" t="n"/>
      <c r="J39" s="7" t="n"/>
      <c r="K39" s="7" t="n"/>
      <c r="L39" s="7" t="n"/>
      <c r="M39" s="7" t="n"/>
      <c r="N39" s="7" t="n"/>
      <c r="O39" s="7" t="n"/>
    </row>
    <row r="40">
      <c r="A40" s="8" t="inlineStr">
        <is>
          <t>IA-037</t>
        </is>
      </c>
      <c r="B40" s="8" t="n"/>
      <c r="C40" s="8" t="n"/>
      <c r="D40" s="8" t="n"/>
      <c r="E40" s="8" t="n"/>
      <c r="F40" s="8" t="n"/>
      <c r="G40" s="8" t="n"/>
      <c r="H40" s="8" t="n"/>
      <c r="I40" s="8" t="n"/>
      <c r="J40" s="8" t="n"/>
      <c r="K40" s="8" t="n"/>
      <c r="L40" s="8" t="n"/>
      <c r="M40" s="8" t="n"/>
      <c r="N40" s="8" t="n"/>
      <c r="O40" s="8" t="n"/>
    </row>
    <row r="41">
      <c r="A41" s="7" t="inlineStr">
        <is>
          <t>IA-038</t>
        </is>
      </c>
      <c r="B41" s="7" t="n"/>
      <c r="C41" s="7" t="n"/>
      <c r="D41" s="7" t="n"/>
      <c r="E41" s="7" t="n"/>
      <c r="F41" s="7" t="n"/>
      <c r="G41" s="7" t="n"/>
      <c r="H41" s="7" t="n"/>
      <c r="I41" s="7" t="n"/>
      <c r="J41" s="7" t="n"/>
      <c r="K41" s="7" t="n"/>
      <c r="L41" s="7" t="n"/>
      <c r="M41" s="7" t="n"/>
      <c r="N41" s="7" t="n"/>
      <c r="O41" s="7" t="n"/>
    </row>
    <row r="42">
      <c r="A42" s="8" t="inlineStr">
        <is>
          <t>IA-039</t>
        </is>
      </c>
      <c r="B42" s="8" t="n"/>
      <c r="C42" s="8" t="n"/>
      <c r="D42" s="8" t="n"/>
      <c r="E42" s="8" t="n"/>
      <c r="F42" s="8" t="n"/>
      <c r="G42" s="8" t="n"/>
      <c r="H42" s="8" t="n"/>
      <c r="I42" s="8" t="n"/>
      <c r="J42" s="8" t="n"/>
      <c r="K42" s="8" t="n"/>
      <c r="L42" s="8" t="n"/>
      <c r="M42" s="8" t="n"/>
      <c r="N42" s="8" t="n"/>
      <c r="O42" s="8" t="n"/>
    </row>
    <row r="43">
      <c r="A43" s="7" t="inlineStr">
        <is>
          <t>IA-040</t>
        </is>
      </c>
      <c r="B43" s="7" t="n"/>
      <c r="C43" s="7" t="n"/>
      <c r="D43" s="7" t="n"/>
      <c r="E43" s="7" t="n"/>
      <c r="F43" s="7" t="n"/>
      <c r="G43" s="7" t="n"/>
      <c r="H43" s="7" t="n"/>
      <c r="I43" s="7" t="n"/>
      <c r="J43" s="7" t="n"/>
      <c r="K43" s="7" t="n"/>
      <c r="L43" s="7" t="n"/>
      <c r="M43" s="7" t="n"/>
      <c r="N43" s="7" t="n"/>
      <c r="O43" s="7" t="n"/>
    </row>
    <row r="44">
      <c r="A44" s="8" t="inlineStr">
        <is>
          <t>IA-041</t>
        </is>
      </c>
      <c r="B44" s="8" t="n"/>
      <c r="C44" s="8" t="n"/>
      <c r="D44" s="8" t="n"/>
      <c r="E44" s="8" t="n"/>
      <c r="F44" s="8" t="n"/>
      <c r="G44" s="8" t="n"/>
      <c r="H44" s="8" t="n"/>
      <c r="I44" s="8" t="n"/>
      <c r="J44" s="8" t="n"/>
      <c r="K44" s="8" t="n"/>
      <c r="L44" s="8" t="n"/>
      <c r="M44" s="8" t="n"/>
      <c r="N44" s="8" t="n"/>
      <c r="O44" s="8" t="n"/>
    </row>
    <row r="45">
      <c r="A45" s="7" t="inlineStr">
        <is>
          <t>IA-042</t>
        </is>
      </c>
      <c r="B45" s="7" t="n"/>
      <c r="C45" s="7" t="n"/>
      <c r="D45" s="7" t="n"/>
      <c r="E45" s="7" t="n"/>
      <c r="F45" s="7" t="n"/>
      <c r="G45" s="7" t="n"/>
      <c r="H45" s="7" t="n"/>
      <c r="I45" s="7" t="n"/>
      <c r="J45" s="7" t="n"/>
      <c r="K45" s="7" t="n"/>
      <c r="L45" s="7" t="n"/>
      <c r="M45" s="7" t="n"/>
      <c r="N45" s="7" t="n"/>
      <c r="O45" s="7" t="n"/>
    </row>
    <row r="46">
      <c r="A46" s="8" t="inlineStr">
        <is>
          <t>IA-043</t>
        </is>
      </c>
      <c r="B46" s="8" t="n"/>
      <c r="C46" s="8" t="n"/>
      <c r="D46" s="8" t="n"/>
      <c r="E46" s="8" t="n"/>
      <c r="F46" s="8" t="n"/>
      <c r="G46" s="8" t="n"/>
      <c r="H46" s="8" t="n"/>
      <c r="I46" s="8" t="n"/>
      <c r="J46" s="8" t="n"/>
      <c r="K46" s="8" t="n"/>
      <c r="L46" s="8" t="n"/>
      <c r="M46" s="8" t="n"/>
      <c r="N46" s="8" t="n"/>
      <c r="O46" s="8" t="n"/>
    </row>
    <row r="47">
      <c r="A47" s="7" t="inlineStr">
        <is>
          <t>IA-044</t>
        </is>
      </c>
      <c r="B47" s="7" t="n"/>
      <c r="C47" s="7" t="n"/>
      <c r="D47" s="7" t="n"/>
      <c r="E47" s="7" t="n"/>
      <c r="F47" s="7" t="n"/>
      <c r="G47" s="7" t="n"/>
      <c r="H47" s="7" t="n"/>
      <c r="I47" s="7" t="n"/>
      <c r="J47" s="7" t="n"/>
      <c r="K47" s="7" t="n"/>
      <c r="L47" s="7" t="n"/>
      <c r="M47" s="7" t="n"/>
      <c r="N47" s="7" t="n"/>
      <c r="O47" s="7" t="n"/>
    </row>
    <row r="48">
      <c r="A48" s="8" t="inlineStr">
        <is>
          <t>IA-045</t>
        </is>
      </c>
      <c r="B48" s="8" t="n"/>
      <c r="C48" s="8" t="n"/>
      <c r="D48" s="8" t="n"/>
      <c r="E48" s="8" t="n"/>
      <c r="F48" s="8" t="n"/>
      <c r="G48" s="8" t="n"/>
      <c r="H48" s="8" t="n"/>
      <c r="I48" s="8" t="n"/>
      <c r="J48" s="8" t="n"/>
      <c r="K48" s="8" t="n"/>
      <c r="L48" s="8" t="n"/>
      <c r="M48" s="8" t="n"/>
      <c r="N48" s="8" t="n"/>
      <c r="O48" s="8" t="n"/>
    </row>
    <row r="49">
      <c r="A49" s="7" t="inlineStr">
        <is>
          <t>IA-046</t>
        </is>
      </c>
      <c r="B49" s="7" t="n"/>
      <c r="C49" s="7" t="n"/>
      <c r="D49" s="7" t="n"/>
      <c r="E49" s="7" t="n"/>
      <c r="F49" s="7" t="n"/>
      <c r="G49" s="7" t="n"/>
      <c r="H49" s="7" t="n"/>
      <c r="I49" s="7" t="n"/>
      <c r="J49" s="7" t="n"/>
      <c r="K49" s="7" t="n"/>
      <c r="L49" s="7" t="n"/>
      <c r="M49" s="7" t="n"/>
      <c r="N49" s="7" t="n"/>
      <c r="O49" s="7" t="n"/>
    </row>
    <row r="50">
      <c r="A50" s="8" t="inlineStr">
        <is>
          <t>IA-047</t>
        </is>
      </c>
      <c r="B50" s="8" t="n"/>
      <c r="C50" s="8" t="n"/>
      <c r="D50" s="8" t="n"/>
      <c r="E50" s="8" t="n"/>
      <c r="F50" s="8" t="n"/>
      <c r="G50" s="8" t="n"/>
      <c r="H50" s="8" t="n"/>
      <c r="I50" s="8" t="n"/>
      <c r="J50" s="8" t="n"/>
      <c r="K50" s="8" t="n"/>
      <c r="L50" s="8" t="n"/>
      <c r="M50" s="8" t="n"/>
      <c r="N50" s="8" t="n"/>
      <c r="O50" s="8" t="n"/>
    </row>
    <row r="51">
      <c r="A51" s="7" t="inlineStr">
        <is>
          <t>IA-048</t>
        </is>
      </c>
      <c r="B51" s="7" t="n"/>
      <c r="C51" s="7" t="n"/>
      <c r="D51" s="7" t="n"/>
      <c r="E51" s="7" t="n"/>
      <c r="F51" s="7" t="n"/>
      <c r="G51" s="7" t="n"/>
      <c r="H51" s="7" t="n"/>
      <c r="I51" s="7" t="n"/>
      <c r="J51" s="7" t="n"/>
      <c r="K51" s="7" t="n"/>
      <c r="L51" s="7" t="n"/>
      <c r="M51" s="7" t="n"/>
      <c r="N51" s="7" t="n"/>
      <c r="O51" s="7" t="n"/>
    </row>
    <row r="52">
      <c r="A52" s="8" t="inlineStr">
        <is>
          <t>IA-049</t>
        </is>
      </c>
      <c r="B52" s="8" t="n"/>
      <c r="C52" s="8" t="n"/>
      <c r="D52" s="8" t="n"/>
      <c r="E52" s="8" t="n"/>
      <c r="F52" s="8" t="n"/>
      <c r="G52" s="8" t="n"/>
      <c r="H52" s="8" t="n"/>
      <c r="I52" s="8" t="n"/>
      <c r="J52" s="8" t="n"/>
      <c r="K52" s="8" t="n"/>
      <c r="L52" s="8" t="n"/>
      <c r="M52" s="8" t="n"/>
      <c r="N52" s="8" t="n"/>
      <c r="O52" s="8" t="n"/>
    </row>
    <row r="53">
      <c r="A53" s="7" t="inlineStr">
        <is>
          <t>IA-050</t>
        </is>
      </c>
      <c r="B53" s="7" t="n"/>
      <c r="C53" s="7" t="n"/>
      <c r="D53" s="7" t="n"/>
      <c r="E53" s="7" t="n"/>
      <c r="F53" s="7" t="n"/>
      <c r="G53" s="7" t="n"/>
      <c r="H53" s="7" t="n"/>
      <c r="I53" s="7" t="n"/>
      <c r="J53" s="7" t="n"/>
      <c r="K53" s="7" t="n"/>
      <c r="L53" s="7" t="n"/>
      <c r="M53" s="7" t="n"/>
      <c r="N53" s="7" t="n"/>
      <c r="O53" s="7" t="n"/>
    </row>
    <row r="54">
      <c r="A54" s="8" t="inlineStr">
        <is>
          <t>IA-051</t>
        </is>
      </c>
      <c r="B54" s="8" t="n"/>
      <c r="C54" s="8" t="n"/>
      <c r="D54" s="8" t="n"/>
      <c r="E54" s="8" t="n"/>
      <c r="F54" s="8" t="n"/>
      <c r="G54" s="8" t="n"/>
      <c r="H54" s="8" t="n"/>
      <c r="I54" s="8" t="n"/>
      <c r="J54" s="8" t="n"/>
      <c r="K54" s="8" t="n"/>
      <c r="L54" s="8" t="n"/>
      <c r="M54" s="8" t="n"/>
      <c r="N54" s="8" t="n"/>
      <c r="O54" s="8" t="n"/>
    </row>
    <row r="55">
      <c r="A55" s="7" t="inlineStr">
        <is>
          <t>IA-052</t>
        </is>
      </c>
      <c r="B55" s="7" t="n"/>
      <c r="C55" s="7" t="n"/>
      <c r="D55" s="7" t="n"/>
      <c r="E55" s="7" t="n"/>
      <c r="F55" s="7" t="n"/>
      <c r="G55" s="7" t="n"/>
      <c r="H55" s="7" t="n"/>
      <c r="I55" s="7" t="n"/>
      <c r="J55" s="7" t="n"/>
      <c r="K55" s="7" t="n"/>
      <c r="L55" s="7" t="n"/>
      <c r="M55" s="7" t="n"/>
      <c r="N55" s="7" t="n"/>
      <c r="O55" s="7" t="n"/>
    </row>
    <row r="56">
      <c r="A56" s="8" t="inlineStr">
        <is>
          <t>IA-053</t>
        </is>
      </c>
      <c r="B56" s="8" t="n"/>
      <c r="C56" s="8" t="n"/>
      <c r="D56" s="8" t="n"/>
      <c r="E56" s="8" t="n"/>
      <c r="F56" s="8" t="n"/>
      <c r="G56" s="8" t="n"/>
      <c r="H56" s="8" t="n"/>
      <c r="I56" s="8" t="n"/>
      <c r="J56" s="8" t="n"/>
      <c r="K56" s="8" t="n"/>
      <c r="L56" s="8" t="n"/>
      <c r="M56" s="8" t="n"/>
      <c r="N56" s="8" t="n"/>
      <c r="O56" s="8" t="n"/>
    </row>
  </sheetData>
  <mergeCells count="1">
    <mergeCell ref="A1:O1"/>
  </mergeCells>
  <dataValidations count="6">
    <dataValidation sqref="F4 F5 F6 F7 F8 F9 F10 F11 F12 F13 F14 F15 F16 F17 F18 F19 F20 F21 F22 F23 F24 F25 F26 F27 F28 F29 F30 F31 F32 F33 F34 F35 F36 F37 F38 F39 F40 F41 F42 F43 F44 F45 F46 F47 F48 F49 F50 F51 F52 F53 F54 F55 F56" showDropDown="0" showInputMessage="0" showErrorMessage="0" allowBlank="1" type="list">
      <formula1>"✅ Oui,🔄 Probable,❌ Non,❓ À vérifier"</formula1>
    </dataValidation>
    <dataValidation sqref="G4 G5 G6 G7 G8 G9 G10 G11 G12 G13 G14 G15 G16 G17 G18 G19 G20 G21 G22 G23 G24 G25 G26 G27 G28 G29 G30 G31 G32 G33 G34 G35 G36 G37 G38 G39 G40 G41 G42 G43 G44 G45 G46 G47 G48 G49 G50 G51 G52 G53 G54 G55 G56" showDropDown="0" showInputMessage="0" showErrorMessage="0" allowBlank="1" type="list">
      <formula1>"🤖 ML/Deep Learning,💬 NLP/Chatbot,👁️ Vision/Image,🎨 IA Générative,📊 Analytics prédictif,🔧 Automatisation,📝 Règles expertes,🔀 Hybride"</formula1>
    </dataValidation>
    <dataValidation sqref="I4 I5 I6 I7 I8 I9 I10 I11 I12 I13 I14 I15 I16 I17 I18 I19 I20 I21 I22 I23 I24 I25 I26 I27 I28 I29 I30 I31 I32 I33 I34 I35 I36 I37 I38 I39 I40 I41 I42 I43 I44 I45 I46 I47 I48 I49 I50 I51 I52 I53 I54 I55 I56" showDropDown="0" showInputMessage="0" showErrorMessage="0" allowBlank="1" type="list">
      <formula1>"🔴 Haut risque,🟠 Risque limité,🟢 Risque minimal,⚫ À classifier"</formula1>
    </dataValidation>
    <dataValidation sqref="J4 J5 J6 J7 J8 J9 J10 J11 J12 J13 J14 J15 J16 J17 J18 J19 J20 J21 J22 J23 J24 J25 J26 J27 J28 J29 J30 J31 J32 J33 J34 J35 J36 J37 J38 J39 J40 J41 J42 J43 J44 J45 J46 J47 J48 J49 J50 J51 J52 J53 J54 J55 J56" showDropDown="0" showInputMessage="0" showErrorMessage="0" allowBlank="1" type="list">
      <formula1>"👤 Données personnelles,💼 Données métier,🔒 Données sensibles,📊 Données publiques,🔀 Mixte"</formula1>
    </dataValidation>
    <dataValidation sqref="N4 N5 N6 N7 N8 N9 N10 N11 N12 N13 N14 N15 N16 N17 N18 N19 N20 N21 N22 N23 N24 N25 N26 N27 N28 N29 N30 N31 N32 N33 N34 N35 N36 N37 N38 N39 N40 N41 N42 N43 N44 N45 N46 N47 N48 N49 N50 N51 N52 N53 N54 N55 N56" showDropDown="0" showInputMessage="0" showErrorMessage="0" allowBlank="1" type="list">
      <formula1>"🔴 P1 - Urgent,🟠 P2 - Important,🟡 P3 - Normal,🟢 P4 - Faible"</formula1>
    </dataValidation>
    <dataValidation sqref="B4 B5 B6 B7 B8 B9 B10 B11 B12 B13 B14 B15 B16 B17 B18 B19 B20 B21 B22 B23 B24 B25 B26 B27 B28 B29 B30 B31 B32 B33 B34 B35 B36 B37 B38 B39 B40 B41 B42 B43 B44 B45 B46 B47 B48 B49 B50 B51 B52 B53 B54 B55 B56" showDropDown="0" showInputMessage="0" showErrorMessage="0" allowBlank="1" type="list">
      <formula1>"RH,Finance,Commercial,IT,Production,Marketing,Juridique,Direction,Qualité,Achats,R&amp;D,Support"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5" customWidth="1" min="1" max="1"/>
    <col width="60" customWidth="1" min="2" max="2"/>
    <col width="20" customWidth="1" min="3" max="3"/>
    <col width="20" customWidth="1" min="4" max="4"/>
  </cols>
  <sheetData>
    <row r="1" ht="35" customHeight="1">
      <c r="A1" s="1" t="inlineStr">
        <is>
          <t>💡 GUIDE - QUESTIONS DE BRAINSTORMING PAR DÉPARTEMENT</t>
        </is>
      </c>
    </row>
    <row r="3">
      <c r="A3" s="3" t="inlineStr">
        <is>
          <t>🏢 RH</t>
        </is>
      </c>
    </row>
    <row r="4">
      <c r="A4" t="inlineStr">
        <is>
          <t>☐</t>
        </is>
      </c>
      <c r="B4" t="inlineStr">
        <is>
          <t>Utilisez-vous un outil de tri automatique de CV ?</t>
        </is>
      </c>
    </row>
    <row r="5">
      <c r="A5" t="inlineStr">
        <is>
          <t>☐</t>
        </is>
      </c>
      <c r="B5" t="inlineStr">
        <is>
          <t>Avez-vous un chatbot pour les questions RH des employés ?</t>
        </is>
      </c>
    </row>
    <row r="6">
      <c r="A6" t="inlineStr">
        <is>
          <t>☐</t>
        </is>
      </c>
      <c r="B6" t="inlineStr">
        <is>
          <t>Utilisez-vous l'IA pour l'évaluation des performances ?</t>
        </is>
      </c>
    </row>
    <row r="7">
      <c r="A7" t="inlineStr">
        <is>
          <t>☐</t>
        </is>
      </c>
      <c r="B7" t="inlineStr">
        <is>
          <t>Y a-t-il un système de matching candidats/postes ?</t>
        </is>
      </c>
    </row>
    <row r="8">
      <c r="A8" t="inlineStr">
        <is>
          <t>☐</t>
        </is>
      </c>
      <c r="B8" t="inlineStr">
        <is>
          <t>Utilisez-vous l'IA pour la planification des formations ?</t>
        </is>
      </c>
    </row>
    <row r="9">
      <c r="A9" t="inlineStr">
        <is>
          <t>☐</t>
        </is>
      </c>
      <c r="B9" t="inlineStr">
        <is>
          <t>Avez-vous un outil de détection des risques de départ ?</t>
        </is>
      </c>
    </row>
    <row r="11">
      <c r="A11" s="3" t="inlineStr">
        <is>
          <t>🏢 Finance</t>
        </is>
      </c>
    </row>
    <row r="12">
      <c r="A12" t="inlineStr">
        <is>
          <t>☐</t>
        </is>
      </c>
      <c r="B12" t="inlineStr">
        <is>
          <t>Utilisez-vous l'IA pour le scoring crédit/client ?</t>
        </is>
      </c>
    </row>
    <row r="13">
      <c r="A13" t="inlineStr">
        <is>
          <t>☐</t>
        </is>
      </c>
      <c r="B13" t="inlineStr">
        <is>
          <t>Y a-t-il de l'automatisation dans la comptabilité ?</t>
        </is>
      </c>
    </row>
    <row r="14">
      <c r="A14" t="inlineStr">
        <is>
          <t>☐</t>
        </is>
      </c>
      <c r="B14" t="inlineStr">
        <is>
          <t>Utilisez-vous des outils de détection de fraude ?</t>
        </is>
      </c>
    </row>
    <row r="15">
      <c r="A15" t="inlineStr">
        <is>
          <t>☐</t>
        </is>
      </c>
      <c r="B15" t="inlineStr">
        <is>
          <t>Avez-vous des prévisions financières automatisées ?</t>
        </is>
      </c>
    </row>
    <row r="16">
      <c r="A16" t="inlineStr">
        <is>
          <t>☐</t>
        </is>
      </c>
      <c r="B16" t="inlineStr">
        <is>
          <t>Utilisez-vous l'IA pour l'analyse des risques ?</t>
        </is>
      </c>
    </row>
    <row r="18">
      <c r="A18" s="3" t="inlineStr">
        <is>
          <t>🏢 Commercial</t>
        </is>
      </c>
    </row>
    <row r="19">
      <c r="A19" t="inlineStr">
        <is>
          <t>☐</t>
        </is>
      </c>
      <c r="B19" t="inlineStr">
        <is>
          <t>Avez-vous un CRM avec fonctionnalités IA ?</t>
        </is>
      </c>
    </row>
    <row r="20">
      <c r="A20" t="inlineStr">
        <is>
          <t>☐</t>
        </is>
      </c>
      <c r="B20" t="inlineStr">
        <is>
          <t>Utilisez-vous l'IA pour la recommandation produits ?</t>
        </is>
      </c>
    </row>
    <row r="21">
      <c r="A21" t="inlineStr">
        <is>
          <t>☐</t>
        </is>
      </c>
      <c r="B21" t="inlineStr">
        <is>
          <t>Y a-t-il un chatbot sur votre site web ?</t>
        </is>
      </c>
    </row>
    <row r="22">
      <c r="A22" t="inlineStr">
        <is>
          <t>☐</t>
        </is>
      </c>
      <c r="B22" t="inlineStr">
        <is>
          <t>Utilisez-vous l'IA pour le pricing dynamique ?</t>
        </is>
      </c>
    </row>
    <row r="23">
      <c r="A23" t="inlineStr">
        <is>
          <t>☐</t>
        </is>
      </c>
      <c r="B23" t="inlineStr">
        <is>
          <t>Avez-vous des prévisions de ventes automatisées ?</t>
        </is>
      </c>
    </row>
    <row r="25">
      <c r="A25" s="3" t="inlineStr">
        <is>
          <t>🏢 IT</t>
        </is>
      </c>
    </row>
    <row r="26">
      <c r="A26" t="inlineStr">
        <is>
          <t>☐</t>
        </is>
      </c>
      <c r="B26" t="inlineStr">
        <is>
          <t>Utilisez-vous l'IA pour la cybersécurité ?</t>
        </is>
      </c>
    </row>
    <row r="27">
      <c r="A27" t="inlineStr">
        <is>
          <t>☐</t>
        </is>
      </c>
      <c r="B27" t="inlineStr">
        <is>
          <t>Avez-vous un helpdesk avec IA/chatbot ?</t>
        </is>
      </c>
    </row>
    <row r="28">
      <c r="A28" t="inlineStr">
        <is>
          <t>☐</t>
        </is>
      </c>
      <c r="B28" t="inlineStr">
        <is>
          <t>Utilisez-vous des outils de code assisté par IA ?</t>
        </is>
      </c>
    </row>
    <row r="29">
      <c r="A29" t="inlineStr">
        <is>
          <t>☐</t>
        </is>
      </c>
      <c r="B29" t="inlineStr">
        <is>
          <t>Y a-t-il de l'IA dans votre monitoring infrastructure ?</t>
        </is>
      </c>
    </row>
    <row r="30">
      <c r="A30" t="inlineStr">
        <is>
          <t>☐</t>
        </is>
      </c>
      <c r="B30" t="inlineStr">
        <is>
          <t>Utilisez-vous l'IA pour l'analyse de logs ?</t>
        </is>
      </c>
    </row>
    <row r="32">
      <c r="A32" s="3" t="inlineStr">
        <is>
          <t>🏢 Marketing</t>
        </is>
      </c>
    </row>
    <row r="33">
      <c r="A33" t="inlineStr">
        <is>
          <t>☐</t>
        </is>
      </c>
      <c r="B33" t="inlineStr">
        <is>
          <t>Utilisez-vous l'IA pour la génération de contenu ?</t>
        </is>
      </c>
    </row>
    <row r="34">
      <c r="A34" t="inlineStr">
        <is>
          <t>☐</t>
        </is>
      </c>
      <c r="B34" t="inlineStr">
        <is>
          <t>Avez-vous des outils d'analyse prédictive marketing ?</t>
        </is>
      </c>
    </row>
    <row r="35">
      <c r="A35" t="inlineStr">
        <is>
          <t>☐</t>
        </is>
      </c>
      <c r="B35" t="inlineStr">
        <is>
          <t>Utilisez-vous l'IA pour la personnalisation ?</t>
        </is>
      </c>
    </row>
    <row r="36">
      <c r="A36" t="inlineStr">
        <is>
          <t>☐</t>
        </is>
      </c>
      <c r="B36" t="inlineStr">
        <is>
          <t>Y a-t-il de l'IA dans vos campagnes publicitaires ?</t>
        </is>
      </c>
    </row>
    <row r="37">
      <c r="A37" t="inlineStr">
        <is>
          <t>☐</t>
        </is>
      </c>
      <c r="B37" t="inlineStr">
        <is>
          <t>Utilisez-vous des outils d'analyse de sentiment ?</t>
        </is>
      </c>
    </row>
    <row r="39">
      <c r="A39" s="3" t="inlineStr">
        <is>
          <t>🏢 Production</t>
        </is>
      </c>
    </row>
    <row r="40">
      <c r="A40" t="inlineStr">
        <is>
          <t>☐</t>
        </is>
      </c>
      <c r="B40" t="inlineStr">
        <is>
          <t>Utilisez-vous l'IA pour la maintenance prédictive ?</t>
        </is>
      </c>
    </row>
    <row r="41">
      <c r="A41" t="inlineStr">
        <is>
          <t>☐</t>
        </is>
      </c>
      <c r="B41" t="inlineStr">
        <is>
          <t>Y a-t-il de l'IA dans votre contrôle qualité ?</t>
        </is>
      </c>
    </row>
    <row r="42">
      <c r="A42" t="inlineStr">
        <is>
          <t>☐</t>
        </is>
      </c>
      <c r="B42" t="inlineStr">
        <is>
          <t>Utilisez-vous l'IA pour l'optimisation de production ?</t>
        </is>
      </c>
    </row>
    <row r="43">
      <c r="A43" t="inlineStr">
        <is>
          <t>☐</t>
        </is>
      </c>
      <c r="B43" t="inlineStr">
        <is>
          <t>Avez-vous des robots/cobots avec IA ?</t>
        </is>
      </c>
    </row>
    <row r="44">
      <c r="A44" t="inlineStr">
        <is>
          <t>☐</t>
        </is>
      </c>
      <c r="B44" t="inlineStr">
        <is>
          <t>Utilisez-vous l'IA pour la gestion des stocks ?</t>
        </is>
      </c>
    </row>
  </sheetData>
  <mergeCells count="38">
    <mergeCell ref="B42:D42"/>
    <mergeCell ref="B14:D14"/>
    <mergeCell ref="B23:D23"/>
    <mergeCell ref="B8:D8"/>
    <mergeCell ref="B13:D13"/>
    <mergeCell ref="B44:D44"/>
    <mergeCell ref="B29:D29"/>
    <mergeCell ref="B34:D34"/>
    <mergeCell ref="B28:D28"/>
    <mergeCell ref="B19:D19"/>
    <mergeCell ref="B37:D37"/>
    <mergeCell ref="A39:D39"/>
    <mergeCell ref="B40:D40"/>
    <mergeCell ref="B9:D9"/>
    <mergeCell ref="B30:D30"/>
    <mergeCell ref="A11:D11"/>
    <mergeCell ref="B15:D15"/>
    <mergeCell ref="B6:D6"/>
    <mergeCell ref="B20:D20"/>
    <mergeCell ref="B33:D33"/>
    <mergeCell ref="A1:D1"/>
    <mergeCell ref="B5:D5"/>
    <mergeCell ref="B36:D36"/>
    <mergeCell ref="B41:D41"/>
    <mergeCell ref="B35:D35"/>
    <mergeCell ref="B4:D4"/>
    <mergeCell ref="B26:D26"/>
    <mergeCell ref="A25:D25"/>
    <mergeCell ref="B7:D7"/>
    <mergeCell ref="B16:D16"/>
    <mergeCell ref="A18:D18"/>
    <mergeCell ref="B22:D22"/>
    <mergeCell ref="A3:D3"/>
    <mergeCell ref="B27:D27"/>
    <mergeCell ref="B21:D21"/>
    <mergeCell ref="B43:D43"/>
    <mergeCell ref="B12:D12"/>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5" customWidth="1" min="1" max="1"/>
    <col width="45" customWidth="1" min="2" max="2"/>
    <col width="45" customWidth="1" min="3" max="3"/>
  </cols>
  <sheetData>
    <row r="1" ht="35" customHeight="1">
      <c r="A1" s="1" t="inlineStr">
        <is>
          <t>📜 ANNEXE III AI ACT - SYSTÈMES À HAUT RISQUE</t>
        </is>
      </c>
    </row>
    <row r="3">
      <c r="A3" s="9" t="inlineStr">
        <is>
          <t>Domaine</t>
        </is>
      </c>
      <c r="B3" s="9" t="inlineStr">
        <is>
          <t>Description</t>
        </is>
      </c>
      <c r="C3" s="9" t="inlineStr">
        <is>
          <t>Exemples</t>
        </is>
      </c>
    </row>
    <row r="4">
      <c r="A4" s="8" t="inlineStr">
        <is>
          <t>1. Biométrie</t>
        </is>
      </c>
      <c r="B4" s="8" t="inlineStr">
        <is>
          <t>Identification et catégorisation biométrique</t>
        </is>
      </c>
      <c r="C4" s="8" t="inlineStr">
        <is>
          <t>Reconnaissance faciale, empreintes, voix</t>
        </is>
      </c>
    </row>
    <row r="5">
      <c r="A5" s="7" t="inlineStr">
        <is>
          <t>2. Infrastructure critique</t>
        </is>
      </c>
      <c r="B5" s="7" t="inlineStr">
        <is>
          <t>Gestion du trafic, eau, gaz, électricité</t>
        </is>
      </c>
      <c r="C5" s="7" t="inlineStr">
        <is>
          <t>Smart grids, gestion trafic routier</t>
        </is>
      </c>
    </row>
    <row r="6">
      <c r="A6" s="8" t="inlineStr">
        <is>
          <t>3. Éducation</t>
        </is>
      </c>
      <c r="B6" s="8" t="inlineStr">
        <is>
          <t>Détermination accès, évaluation, surveillance</t>
        </is>
      </c>
      <c r="C6" s="8" t="inlineStr">
        <is>
          <t>Orientation scolaire, notation automatique</t>
        </is>
      </c>
    </row>
    <row r="7">
      <c r="A7" s="7" t="inlineStr">
        <is>
          <t>4. Emploi</t>
        </is>
      </c>
      <c r="B7" s="7" t="inlineStr">
        <is>
          <t>Recrutement, gestion RH, évaluation</t>
        </is>
      </c>
      <c r="C7" s="7" t="inlineStr">
        <is>
          <t>Tri CV, évaluation performance, promotion</t>
        </is>
      </c>
    </row>
    <row r="8">
      <c r="A8" s="8" t="inlineStr">
        <is>
          <t>5. Services essentiels</t>
        </is>
      </c>
      <c r="B8" s="8" t="inlineStr">
        <is>
          <t>Accès aux prestations sociales, crédit</t>
        </is>
      </c>
      <c r="C8" s="8" t="inlineStr">
        <is>
          <t>Scoring crédit, allocation prestations</t>
        </is>
      </c>
    </row>
    <row r="9">
      <c r="A9" s="7" t="inlineStr">
        <is>
          <t>6. Répression</t>
        </is>
      </c>
      <c r="B9" s="7" t="inlineStr">
        <is>
          <t>Évaluation risques, détection émotions</t>
        </is>
      </c>
      <c r="C9" s="7" t="inlineStr">
        <is>
          <t>Police prédictive, détection mensonges</t>
        </is>
      </c>
    </row>
    <row r="10">
      <c r="A10" s="8" t="inlineStr">
        <is>
          <t>7. Migration</t>
        </is>
      </c>
      <c r="B10" s="8" t="inlineStr">
        <is>
          <t>Examen demandes, vérification documents</t>
        </is>
      </c>
      <c r="C10" s="8" t="inlineStr">
        <is>
          <t>Contrôle frontières, traitement visas</t>
        </is>
      </c>
    </row>
    <row r="11">
      <c r="A11" s="7" t="inlineStr">
        <is>
          <t>8. Justice</t>
        </is>
      </c>
      <c r="B11" s="7" t="inlineStr">
        <is>
          <t>Aide à la décision judiciaire</t>
        </is>
      </c>
      <c r="C11" s="7" t="inlineStr">
        <is>
          <t>Analyse jurisprudence, évaluation risques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2025-12-27T12:22:30Z</dcterms:created>
  <dcterms:modified xmlns:dcterms="http://purl.org/dc/terms/" xmlns:xsi="http://www.w3.org/2001/XMLSchema-instance" xsi:type="dcterms:W3CDTF">2025-12-27T12:22:30Z</dcterms:modified>
</cp:coreProperties>
</file>