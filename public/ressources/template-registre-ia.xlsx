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 IA" sheetId="1" state="visible" r:id="rId1"/>
    <sheet xmlns:r="http://schemas.openxmlformats.org/officeDocument/2006/relationships" name="Statistiques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5F"/>
      <sz val="16"/>
    </font>
    <font>
      <b val="1"/>
    </font>
    <font>
      <color rgb="00666666"/>
      <sz val="11"/>
    </font>
    <font>
      <sz val="11"/>
    </font>
    <font>
      <b val="1"/>
      <color rgb="001E3A5F"/>
      <sz val="13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15" customWidth="1" min="4" max="4"/>
    <col width="15" customWidth="1" min="5" max="5"/>
    <col width="20" customWidth="1" min="6" max="6"/>
    <col width="20" customWidth="1" min="7" max="7"/>
    <col width="35" customWidth="1" min="8" max="8"/>
    <col width="30" customWidth="1" min="9" max="9"/>
    <col width="18" customWidth="1" min="10" max="10"/>
    <col width="20" customWidth="1" min="11" max="11"/>
    <col width="18" customWidth="1" min="12" max="12"/>
    <col width="25" customWidth="1" min="13" max="13"/>
    <col width="15" customWidth="1" min="14" max="14"/>
    <col width="18" customWidth="1" min="15" max="15"/>
    <col width="30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Nom du système</t>
        </is>
      </c>
      <c r="C1" s="1" t="inlineStr">
        <is>
          <t>Éditeur/Fournisseur</t>
        </is>
      </c>
      <c r="D1" s="1" t="inlineStr">
        <is>
          <t>Version</t>
        </is>
      </c>
      <c r="E1" s="1" t="inlineStr">
        <is>
          <t>Date déploiement</t>
        </is>
      </c>
      <c r="F1" s="1" t="inlineStr">
        <is>
          <t>Département</t>
        </is>
      </c>
      <c r="G1" s="1" t="inlineStr">
        <is>
          <t>Responsable</t>
        </is>
      </c>
      <c r="H1" s="1" t="inlineStr">
        <is>
          <t>Finalité/Usage</t>
        </is>
      </c>
      <c r="I1" s="1" t="inlineStr">
        <is>
          <t>Données traitées</t>
        </is>
      </c>
      <c r="J1" s="1" t="inlineStr">
        <is>
          <t>Niveau risque AI Act</t>
        </is>
      </c>
      <c r="K1" s="1" t="inlineStr">
        <is>
          <t>Base légale RGPD</t>
        </is>
      </c>
      <c r="L1" s="1" t="inlineStr">
        <is>
          <t>Supervision humaine</t>
        </is>
      </c>
      <c r="M1" s="1" t="inlineStr">
        <is>
          <t>Documentation technique</t>
        </is>
      </c>
      <c r="N1" s="1" t="inlineStr">
        <is>
          <t>Date dernier audit</t>
        </is>
      </c>
      <c r="O1" s="1" t="inlineStr">
        <is>
          <t>Conformité AI Act</t>
        </is>
      </c>
      <c r="P1" s="1" t="inlineStr">
        <is>
          <t>Actions correctives</t>
        </is>
      </c>
      <c r="Q1" s="1" t="inlineStr">
        <is>
          <t>Prochaine révision</t>
        </is>
      </c>
    </row>
    <row r="2">
      <c r="A2" s="2" t="inlineStr">
        <is>
          <t>SYS-001</t>
        </is>
      </c>
      <c r="B2" s="2" t="inlineStr">
        <is>
          <t>Microsoft Copilot</t>
        </is>
      </c>
      <c r="C2" s="2" t="inlineStr">
        <is>
          <t>Microsoft Corporation</t>
        </is>
      </c>
      <c r="D2" s="2" t="inlineStr">
        <is>
          <t>M365 Enterprise</t>
        </is>
      </c>
      <c r="E2" s="2" t="inlineStr">
        <is>
          <t>15/01/2025</t>
        </is>
      </c>
      <c r="F2" s="2" t="inlineStr">
        <is>
          <t>Direction, Marketing, RH</t>
        </is>
      </c>
      <c r="G2" s="2" t="inlineStr">
        <is>
          <t>Marie Martin - DSI</t>
        </is>
      </c>
      <c r="H2" s="2" t="inlineStr">
        <is>
          <t>Assistant rédaction, analyse documents, synthèses</t>
        </is>
      </c>
      <c r="I2" s="2" t="inlineStr">
        <is>
          <t>Documents internes, emails, données clients</t>
        </is>
      </c>
      <c r="J2" s="2" t="inlineStr">
        <is>
          <t>Risque limité</t>
        </is>
      </c>
      <c r="K2" s="2" t="inlineStr">
        <is>
          <t>Intérêt légitime + consentement</t>
        </is>
      </c>
      <c r="L2" s="2" t="inlineStr">
        <is>
          <t>Oui</t>
        </is>
      </c>
      <c r="M2" s="2" t="inlineStr">
        <is>
          <t>Disponible (DPA Microsoft)</t>
        </is>
      </c>
      <c r="N2" s="2" t="inlineStr">
        <is>
          <t>10/03/2025</t>
        </is>
      </c>
      <c r="O2" s="2" t="inlineStr">
        <is>
          <t>Conforme</t>
        </is>
      </c>
      <c r="P2" s="2" t="inlineStr">
        <is>
          <t>Formation utilisateurs complétée</t>
        </is>
      </c>
      <c r="Q2" s="2" t="inlineStr">
        <is>
          <t>10/03/2026</t>
        </is>
      </c>
    </row>
    <row r="3">
      <c r="A3" s="3" t="inlineStr">
        <is>
          <t>SYS-002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A4" s="3" t="inlineStr">
        <is>
          <t>SYS-003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inlineStr">
        <is>
          <t>SYS-004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inlineStr">
        <is>
          <t>SYS-005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inlineStr">
        <is>
          <t>SYS-006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inlineStr">
        <is>
          <t>SYS-007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inlineStr">
        <is>
          <t>SYS-008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inlineStr">
        <is>
          <t>SYS-009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inlineStr">
        <is>
          <t>SYS-010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inlineStr">
        <is>
          <t>SYS-011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3">
      <c r="A13" s="3" t="inlineStr">
        <is>
          <t>SYS-012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>
      <c r="A14" s="3" t="inlineStr">
        <is>
          <t>SYS-013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>
      <c r="A15" s="3" t="inlineStr">
        <is>
          <t>SYS-014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>
      <c r="A16" s="3" t="inlineStr">
        <is>
          <t>SYS-015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3" t="inlineStr">
        <is>
          <t>SYS-016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3" t="inlineStr">
        <is>
          <t>SYS-017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19">
      <c r="A19" s="3" t="inlineStr">
        <is>
          <t>SYS-018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</row>
    <row r="20">
      <c r="A20" s="3" t="inlineStr">
        <is>
          <t>SYS-019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>
      <c r="A21" s="3" t="inlineStr">
        <is>
          <t>SYS-020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>
      <c r="A22" s="3" t="inlineStr">
        <is>
          <t>SYS-021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>
      <c r="A23" s="3" t="inlineStr">
        <is>
          <t>SYS-022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>
      <c r="A24" s="3" t="inlineStr">
        <is>
          <t>SYS-023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5">
      <c r="A25" s="3" t="inlineStr">
        <is>
          <t>SYS-024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</row>
    <row r="26">
      <c r="A26" s="3" t="inlineStr">
        <is>
          <t>SYS-025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7">
      <c r="A27" s="3" t="inlineStr">
        <is>
          <t>SYS-026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</row>
    <row r="28">
      <c r="A28" s="3" t="inlineStr">
        <is>
          <t>SYS-027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>
      <c r="A29" s="3" t="inlineStr">
        <is>
          <t>SYS-028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>
      <c r="A30" s="3" t="inlineStr">
        <is>
          <t>SYS-029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</row>
    <row r="31">
      <c r="A31" s="3" t="inlineStr">
        <is>
          <t>SYS-030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</row>
    <row r="32">
      <c r="A32" s="3" t="inlineStr">
        <is>
          <t>SYS-031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</row>
    <row r="33">
      <c r="A33" s="3" t="inlineStr">
        <is>
          <t>SYS-032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>
      <c r="A34" s="3" t="inlineStr">
        <is>
          <t>SYS-033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3" t="inlineStr">
        <is>
          <t>SYS-034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</row>
    <row r="36">
      <c r="A36" s="3" t="inlineStr">
        <is>
          <t>SYS-035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</row>
    <row r="37">
      <c r="A37" s="3" t="inlineStr">
        <is>
          <t>SYS-036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</row>
    <row r="38">
      <c r="A38" s="3" t="inlineStr">
        <is>
          <t>SYS-037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</row>
    <row r="39">
      <c r="A39" s="3" t="inlineStr">
        <is>
          <t>SYS-038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</row>
    <row r="40">
      <c r="A40" s="3" t="inlineStr">
        <is>
          <t>SYS-039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</row>
    <row r="41">
      <c r="A41" s="3" t="inlineStr">
        <is>
          <t>SYS-040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</row>
    <row r="42">
      <c r="A42" s="3" t="inlineStr">
        <is>
          <t>SYS-041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</row>
    <row r="43">
      <c r="A43" s="3" t="inlineStr">
        <is>
          <t>SYS-042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3" t="inlineStr">
        <is>
          <t>SYS-043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>
      <c r="A45" s="3" t="inlineStr">
        <is>
          <t>SYS-044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</row>
    <row r="46">
      <c r="A46" s="3" t="inlineStr">
        <is>
          <t>SYS-045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>
      <c r="A47" s="3" t="inlineStr">
        <is>
          <t>SYS-046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</row>
    <row r="48">
      <c r="A48" s="3" t="inlineStr">
        <is>
          <t>SYS-047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</row>
    <row r="49">
      <c r="A49" s="3" t="inlineStr">
        <is>
          <t>SYS-048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</row>
    <row r="50">
      <c r="A50" s="3" t="inlineStr">
        <is>
          <t>SYS-049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</row>
    <row r="51">
      <c r="A51" s="3" t="inlineStr">
        <is>
          <t>SYS-050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</row>
    <row r="52">
      <c r="A52" s="3" t="inlineStr">
        <is>
          <t>SYS-051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</row>
  </sheetData>
  <dataValidations count="4">
    <dataValidation sqref="J3:J52" showDropDown="0" showInputMessage="0" showErrorMessage="0" allowBlank="1" errorTitle="Valeur invalide" error="Sélectionnez un niveau de risque" type="list">
      <formula1>"Risque minimal,Risque limité,Haut risque,Inacceptable"</formula1>
    </dataValidation>
    <dataValidation sqref="O3:O52" showDropDown="0" showInputMessage="0" showErrorMessage="0" allowBlank="1" type="list">
      <formula1>"Conforme,En cours,Non conforme,À évaluer"</formula1>
    </dataValidation>
    <dataValidation sqref="L3:L52" showDropDown="0" showInputMessage="0" showErrorMessage="0" allowBlank="1" type="list">
      <formula1>"Oui,Non,Partielle"</formula1>
    </dataValidation>
    <dataValidation sqref="M3:M52" showDropDown="0" showInputMessage="0" showErrorMessage="0" allowBlank="1" type="list">
      <formula1>"Disponible,À obtenir,En cours,N/A"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TABLEAU DE BORD - REGISTRE IA</t>
        </is>
      </c>
    </row>
    <row r="3">
      <c r="A3" s="5" t="inlineStr">
        <is>
          <t>Total systèmes recensés</t>
        </is>
      </c>
      <c r="B3" s="6">
        <f>COUNTA('Registre IA'!B2:B52)-COUNTBLANK('Registre IA'!B2:B52)</f>
        <v/>
      </c>
    </row>
    <row r="4">
      <c r="A4" s="5" t="inlineStr">
        <is>
          <t>Systèmes haut risque</t>
        </is>
      </c>
      <c r="B4" s="6">
        <f>COUNTIF('Registre IA'!J:J,"Haut risque")</f>
        <v/>
      </c>
    </row>
    <row r="5">
      <c r="A5" s="5" t="inlineStr">
        <is>
          <t>Systèmes risque limité</t>
        </is>
      </c>
      <c r="B5" s="6">
        <f>COUNTIF('Registre IA'!J:J,"Risque limité")</f>
        <v/>
      </c>
    </row>
    <row r="6">
      <c r="A6" s="5" t="inlineStr">
        <is>
          <t>Systèmes risque minimal</t>
        </is>
      </c>
      <c r="B6" s="6">
        <f>COUNTIF('Registre IA'!J:J,"Risque minimal")</f>
        <v/>
      </c>
    </row>
    <row r="7">
      <c r="A7" s="5" t="inlineStr">
        <is>
          <t>Systèmes conformes</t>
        </is>
      </c>
      <c r="B7" s="6">
        <f>COUNTIF('Registre IA'!O:O,"Conforme")</f>
        <v/>
      </c>
    </row>
    <row r="8">
      <c r="A8" s="5" t="inlineStr">
        <is>
          <t>Systèmes en cours</t>
        </is>
      </c>
      <c r="B8" s="6">
        <f>COUNTIF('Registre IA'!O:O,"En cours")</f>
        <v/>
      </c>
    </row>
    <row r="9">
      <c r="A9" s="5" t="inlineStr">
        <is>
          <t>Systèmes non conformes</t>
        </is>
      </c>
      <c r="B9" s="6">
        <f>COUNTIF('Registre IA'!O:O,"Non conforme")</f>
        <v/>
      </c>
    </row>
    <row r="10">
      <c r="A10" s="5" t="inlineStr">
        <is>
          <t>Taux de conformité</t>
        </is>
      </c>
      <c r="B10" s="6">
        <f>IF(B4&gt;0,B8/B4*100,0)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4" t="inlineStr">
        <is>
          <t>MODE D'EMPLOI - REGISTRE DES SYSTÈMES IA</t>
        </is>
      </c>
      <c r="B1" s="7" t="inlineStr"/>
    </row>
    <row r="2">
      <c r="A2" s="8" t="inlineStr"/>
      <c r="B2" s="7" t="inlineStr"/>
    </row>
    <row r="3">
      <c r="A3" s="8" t="inlineStr">
        <is>
          <t>Conformément à l'AI Act, chaque organisation doit tenir un registre de ses systèmes d'IA.</t>
        </is>
      </c>
      <c r="B3" s="7" t="inlineStr"/>
    </row>
    <row r="4">
      <c r="A4" s="8" t="inlineStr"/>
      <c r="B4" s="7" t="inlineStr"/>
    </row>
    <row r="5">
      <c r="A5" s="9" t="inlineStr">
        <is>
          <t>COMMENT REMPLIR LE REGISTRE :</t>
        </is>
      </c>
      <c r="B5" s="7" t="inlineStr"/>
    </row>
    <row r="6">
      <c r="A6" s="8" t="inlineStr"/>
      <c r="B6" s="7" t="inlineStr"/>
    </row>
    <row r="7">
      <c r="A7" s="8" t="inlineStr">
        <is>
          <t>1. ID</t>
        </is>
      </c>
      <c r="B7" s="7" t="inlineStr">
        <is>
          <t>Identifiant unique du système (auto-généré)</t>
        </is>
      </c>
    </row>
    <row r="8">
      <c r="A8" s="8" t="inlineStr">
        <is>
          <t>2. Nom du système</t>
        </is>
      </c>
      <c r="B8" s="7" t="inlineStr">
        <is>
          <t>Nom commercial ou interne de l'outil IA</t>
        </is>
      </c>
    </row>
    <row r="9">
      <c r="A9" s="8" t="inlineStr">
        <is>
          <t>3. Éditeur/Fournisseur</t>
        </is>
      </c>
      <c r="B9" s="7" t="inlineStr">
        <is>
          <t>Entreprise qui développe ou commercialise l'IA</t>
        </is>
      </c>
    </row>
    <row r="10">
      <c r="A10" s="8" t="inlineStr">
        <is>
          <t>4. Version</t>
        </is>
      </c>
      <c r="B10" s="7" t="inlineStr">
        <is>
          <t>Numéro de version déployée</t>
        </is>
      </c>
    </row>
    <row r="11">
      <c r="A11" s="8" t="inlineStr">
        <is>
          <t>5. Date déploiement</t>
        </is>
      </c>
      <c r="B11" s="7" t="inlineStr">
        <is>
          <t>Date de mise en production</t>
        </is>
      </c>
    </row>
    <row r="12">
      <c r="A12" s="8" t="inlineStr">
        <is>
          <t>6. Département</t>
        </is>
      </c>
      <c r="B12" s="7" t="inlineStr">
        <is>
          <t>Service(s) utilisant le système</t>
        </is>
      </c>
    </row>
    <row r="13">
      <c r="A13" s="8" t="inlineStr">
        <is>
          <t>7. Responsable</t>
        </is>
      </c>
      <c r="B13" s="7" t="inlineStr">
        <is>
          <t>Personne en charge du suivi</t>
        </is>
      </c>
    </row>
    <row r="14">
      <c r="A14" s="8" t="inlineStr">
        <is>
          <t>8. Finalité/Usage</t>
        </is>
      </c>
      <c r="B14" s="7" t="inlineStr">
        <is>
          <t>À quoi sert le système ?</t>
        </is>
      </c>
    </row>
    <row r="15">
      <c r="A15" s="8" t="inlineStr">
        <is>
          <t>9. Données traitées</t>
        </is>
      </c>
      <c r="B15" s="7" t="inlineStr">
        <is>
          <t>Types de données utilisées par l'IA</t>
        </is>
      </c>
    </row>
    <row r="16">
      <c r="A16" s="8" t="inlineStr">
        <is>
          <t>10. Niveau risque</t>
        </is>
      </c>
      <c r="B16" s="7" t="inlineStr">
        <is>
          <t>Selon classification AI Act (liste déroulante)</t>
        </is>
      </c>
    </row>
    <row r="17">
      <c r="A17" s="8" t="inlineStr">
        <is>
          <t>11. Base légale RGPD</t>
        </is>
      </c>
      <c r="B17" s="7" t="inlineStr">
        <is>
          <t>Fondement juridique du traitement</t>
        </is>
      </c>
    </row>
    <row r="18">
      <c r="A18" s="8" t="inlineStr">
        <is>
          <t>12. Supervision humaine</t>
        </is>
      </c>
      <c r="B18" s="7" t="inlineStr">
        <is>
          <t>Contrôle humain prévu ? (liste déroulante)</t>
        </is>
      </c>
    </row>
    <row r="19">
      <c r="A19" s="8" t="inlineStr">
        <is>
          <t>13. Documentation</t>
        </is>
      </c>
      <c r="B19" s="7" t="inlineStr">
        <is>
          <t>Documentation technique disponible ?</t>
        </is>
      </c>
    </row>
    <row r="20">
      <c r="A20" s="8" t="inlineStr">
        <is>
          <t>14. Date audit</t>
        </is>
      </c>
      <c r="B20" s="7" t="inlineStr">
        <is>
          <t>Dernier audit de conformité</t>
        </is>
      </c>
    </row>
    <row r="21">
      <c r="A21" s="8" t="inlineStr">
        <is>
          <t>15. Conformité</t>
        </is>
      </c>
      <c r="B21" s="7" t="inlineStr">
        <is>
          <t>Statut actuel (liste déroulante)</t>
        </is>
      </c>
    </row>
    <row r="22">
      <c r="A22" s="8" t="inlineStr">
        <is>
          <t>16. Actions</t>
        </is>
      </c>
      <c r="B22" s="7" t="inlineStr">
        <is>
          <t>Actions correctives en cours ou terminées</t>
        </is>
      </c>
    </row>
    <row r="23">
      <c r="A23" s="8" t="inlineStr">
        <is>
          <t>17. Révision</t>
        </is>
      </c>
      <c r="B23" s="7" t="inlineStr">
        <is>
          <t>Date prévue de prochaine révision</t>
        </is>
      </c>
    </row>
    <row r="24">
      <c r="A24" s="8" t="inlineStr"/>
      <c r="B24" s="7" t="inlineStr"/>
    </row>
    <row r="25">
      <c r="A25" s="9" t="inlineStr">
        <is>
          <t>NIVEAUX DE RISQUE AI ACT :</t>
        </is>
      </c>
      <c r="B25" s="7" t="inlineStr"/>
    </row>
    <row r="26">
      <c r="A26" s="8" t="inlineStr">
        <is>
          <t>• Inacceptable</t>
        </is>
      </c>
      <c r="B26" s="7" t="inlineStr">
        <is>
          <t>Systèmes interdits (scoring social, manipulation...)</t>
        </is>
      </c>
    </row>
    <row r="27">
      <c r="A27" s="8" t="inlineStr">
        <is>
          <t>• Haut risque</t>
        </is>
      </c>
      <c r="B27" s="7" t="inlineStr">
        <is>
          <t>Obligations renforcées (RH, santé, éducation, crédit...)</t>
        </is>
      </c>
    </row>
    <row r="28">
      <c r="A28" s="8" t="inlineStr">
        <is>
          <t>• Risque limité</t>
        </is>
      </c>
      <c r="B28" s="7" t="inlineStr">
        <is>
          <t>Transparence requise (chatbots, deepfakes...)</t>
        </is>
      </c>
    </row>
    <row r="29">
      <c r="A29" s="8" t="inlineStr">
        <is>
          <t>• Risque minimal</t>
        </is>
      </c>
      <c r="B29" s="7" t="inlineStr">
        <is>
          <t>Pas d'obligations spécifiques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2025-12-18T15:16:37Z</dcterms:created>
  <dcterms:modified xmlns:dcterms="http://purl.org/dc/terms/" xmlns:xsi="http://www.w3.org/2001/XMLSchema-instance" xsi:type="dcterms:W3CDTF">2025-12-18T15:16:37Z</dcterms:modified>
</cp:coreProperties>
</file>